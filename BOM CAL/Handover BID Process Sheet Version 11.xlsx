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fileSharing readOnlyRecommended="1"/>
  <workbookPr defaultThemeVersion="166925"/>
  <mc:AlternateContent xmlns:mc="http://schemas.openxmlformats.org/markup-compatibility/2006">
    <mc:Choice Requires="x15">
      <x15ac:absPath xmlns:x15ac="http://schemas.microsoft.com/office/spreadsheetml/2010/11/ac" url="C:\Users\nikhilum\Desktop\BOM CAL\"/>
    </mc:Choice>
  </mc:AlternateContent>
  <xr:revisionPtr revIDLastSave="0" documentId="13_ncr:1_{22FE5B4F-4640-417B-86B2-517B49406EB9}" xr6:coauthVersionLast="47" xr6:coauthVersionMax="47" xr10:uidLastSave="{00000000-0000-0000-0000-000000000000}"/>
  <bookViews>
    <workbookView xWindow="28680" yWindow="-120" windowWidth="29040" windowHeight="15720" tabRatio="927" firstSheet="2" activeTab="2" xr2:uid="{7E703538-D78C-44AB-9AE5-8FC9D7B82B5F}"/>
  </bookViews>
  <sheets>
    <sheet name="Template &amp; Version" sheetId="26" r:id="rId1"/>
    <sheet name="3. Eligibility Conditions" sheetId="13" state="hidden" r:id="rId2"/>
    <sheet name="4. Project Questionnairre" sheetId="16" r:id="rId3"/>
    <sheet name="5. Customer Requirements" sheetId="5" state="hidden" r:id="rId4"/>
    <sheet name="6. Pre Bid Query" sheetId="39" state="hidden" r:id="rId5"/>
    <sheet name="7. Check List" sheetId="29" state="hidden" r:id="rId6"/>
    <sheet name="10. BoQ" sheetId="7" state="hidden" r:id="rId7"/>
    <sheet name="16.DP TS details" sheetId="37" r:id="rId8"/>
    <sheet name="10.  BOQ" sheetId="40" r:id="rId9"/>
  </sheets>
  <externalReferences>
    <externalReference r:id="rId10"/>
    <externalReference r:id="rId11"/>
  </externalReferences>
  <definedNames>
    <definedName name="DMM">'[1]DMM Action Plan tracker 2006'!$A$8:$K$65536</definedName>
    <definedName name="JL" localSheetId="0">#REF!</definedName>
    <definedName name="JL">#REF!</definedName>
    <definedName name="_xlnm.Print_Area" localSheetId="0">'Template &amp; Version'!$A$1:$AI$34</definedName>
    <definedName name="Proba" localSheetId="0">#REF!</definedName>
    <definedName name="Prob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38" i="40" l="1"/>
  <c r="G38" i="40" s="1"/>
  <c r="G43" i="40"/>
  <c r="F43" i="40"/>
  <c r="F42" i="40"/>
  <c r="G42" i="40"/>
  <c r="F41" i="40"/>
  <c r="G41" i="40" s="1"/>
  <c r="F40" i="40"/>
  <c r="G40" i="40"/>
  <c r="F39" i="40"/>
  <c r="G39" i="40" s="1"/>
  <c r="F37" i="40"/>
  <c r="G37" i="40" s="1"/>
  <c r="F36" i="40"/>
  <c r="G36" i="40" s="1"/>
  <c r="F35" i="40"/>
  <c r="G35" i="40" s="1"/>
  <c r="F34" i="40"/>
  <c r="G34" i="40" s="1"/>
  <c r="F33" i="40"/>
  <c r="G33" i="40" s="1"/>
  <c r="F32" i="40"/>
  <c r="G32" i="40" s="1"/>
  <c r="F31" i="40"/>
  <c r="G31" i="40" s="1"/>
  <c r="F30" i="40"/>
  <c r="G30" i="40" s="1"/>
  <c r="F29" i="40"/>
  <c r="G29" i="40" s="1"/>
  <c r="F28" i="40"/>
  <c r="G28" i="40" s="1"/>
  <c r="G27" i="40"/>
  <c r="F26" i="40"/>
  <c r="G26" i="40" s="1"/>
  <c r="F25" i="40"/>
  <c r="G25" i="40" s="1"/>
  <c r="F24" i="40"/>
  <c r="G24" i="40" s="1"/>
  <c r="F23" i="40"/>
  <c r="G23" i="40"/>
  <c r="F22" i="40"/>
  <c r="G22" i="40" s="1"/>
  <c r="F21" i="40"/>
  <c r="G21" i="40"/>
  <c r="F20" i="40"/>
  <c r="G20" i="40" s="1"/>
  <c r="F18" i="40"/>
  <c r="F19" i="40" s="1"/>
  <c r="G19" i="40" s="1"/>
  <c r="F17" i="40"/>
  <c r="G17" i="40" s="1"/>
  <c r="F16" i="40"/>
  <c r="G16" i="40"/>
  <c r="F15" i="40"/>
  <c r="G15" i="40" s="1"/>
  <c r="F14" i="40"/>
  <c r="G14" i="40" s="1"/>
  <c r="F13" i="40"/>
  <c r="G13" i="40" s="1"/>
  <c r="F12" i="40"/>
  <c r="G12" i="40" s="1"/>
  <c r="F11" i="40"/>
  <c r="G11" i="40" s="1"/>
  <c r="F10" i="40"/>
  <c r="G10" i="40" s="1"/>
  <c r="F9" i="40"/>
  <c r="G9" i="40" s="1"/>
  <c r="F8" i="40"/>
  <c r="G8" i="40" s="1"/>
  <c r="F7" i="40"/>
  <c r="G7" i="40" s="1"/>
  <c r="F6" i="40"/>
  <c r="F5" i="40"/>
  <c r="G5" i="40"/>
  <c r="F4" i="40"/>
  <c r="G4" i="40" s="1"/>
  <c r="F3" i="40"/>
  <c r="G3" i="40" s="1"/>
  <c r="G6" i="40" l="1"/>
  <c r="G18" i="40"/>
  <c r="S16" i="37" l="1"/>
  <c r="R16" i="37"/>
  <c r="Q16" i="37"/>
  <c r="P16" i="37"/>
  <c r="J16" i="37"/>
  <c r="I16" i="37"/>
  <c r="H16" i="37"/>
  <c r="G16" i="37"/>
  <c r="U14" i="37"/>
  <c r="W14" i="37" s="1"/>
  <c r="T14" i="37"/>
  <c r="V14" i="37" s="1"/>
  <c r="L14" i="37"/>
  <c r="K14" i="37"/>
  <c r="V13" i="37"/>
  <c r="U13" i="37"/>
  <c r="W13" i="37" s="1"/>
  <c r="T13" i="37"/>
  <c r="L13" i="37"/>
  <c r="K13" i="37"/>
  <c r="U12" i="37"/>
  <c r="W12" i="37" s="1"/>
  <c r="T12" i="37"/>
  <c r="V12" i="37" s="1"/>
  <c r="L12" i="37"/>
  <c r="K12" i="37"/>
  <c r="W11" i="37"/>
  <c r="V11" i="37"/>
  <c r="U11" i="37"/>
  <c r="T11" i="37"/>
  <c r="L11" i="37"/>
  <c r="K11" i="37"/>
  <c r="U10" i="37"/>
  <c r="W10" i="37" s="1"/>
  <c r="T10" i="37"/>
  <c r="V10" i="37" s="1"/>
  <c r="L10" i="37"/>
  <c r="K10" i="37"/>
  <c r="U9" i="37"/>
  <c r="W9" i="37" s="1"/>
  <c r="T9" i="37"/>
  <c r="V9" i="37" s="1"/>
  <c r="L9" i="37"/>
  <c r="K9" i="37"/>
  <c r="U8" i="37"/>
  <c r="W8" i="37" s="1"/>
  <c r="T8" i="37"/>
  <c r="V8" i="37" s="1"/>
  <c r="L8" i="37"/>
  <c r="K8" i="37"/>
  <c r="U7" i="37"/>
  <c r="U16" i="37" s="1"/>
  <c r="T7" i="37"/>
  <c r="V7" i="37" s="1"/>
  <c r="L7" i="37"/>
  <c r="K7" i="37"/>
  <c r="V6" i="37"/>
  <c r="U6" i="37"/>
  <c r="W6" i="37" s="1"/>
  <c r="T6" i="37"/>
  <c r="L6" i="37"/>
  <c r="K6" i="37"/>
  <c r="U5" i="37"/>
  <c r="W5" i="37" s="1"/>
  <c r="T5" i="37"/>
  <c r="V5" i="37" s="1"/>
  <c r="L5" i="37"/>
  <c r="L16" i="37" s="1"/>
  <c r="O25" i="37" s="1"/>
  <c r="K5" i="37"/>
  <c r="K16" i="37" s="1"/>
  <c r="O24" i="37" s="1"/>
  <c r="V16" i="37" l="1"/>
  <c r="T16" i="37"/>
  <c r="O22" i="37" s="1"/>
  <c r="O26" i="37" s="1"/>
  <c r="W7" i="37"/>
  <c r="W16" i="37" s="1"/>
  <c r="O23" i="37" s="1"/>
  <c r="O27" i="3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CC7778-DC57-4B26-BA18-D01101FE495F}"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45D704EF-2A19-4C3B-9DFD-E95C358880D1}"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<sst xmlns="http://schemas.openxmlformats.org/spreadsheetml/2006/main" count="543" uniqueCount="322">
  <si>
    <t>TSTS</t>
  </si>
  <si>
    <t>Railtel</t>
  </si>
  <si>
    <t>IRCON</t>
  </si>
  <si>
    <t>RITES</t>
  </si>
  <si>
    <t>KEC</t>
  </si>
  <si>
    <t>L&amp;T</t>
  </si>
  <si>
    <t>Hitachi STS</t>
  </si>
  <si>
    <t>KPTL</t>
  </si>
  <si>
    <t>Ashoka Buildcon</t>
  </si>
  <si>
    <t>Angelique</t>
  </si>
  <si>
    <t>Alcon Builders</t>
  </si>
  <si>
    <t>Texmaco</t>
  </si>
  <si>
    <t>Shivakriti</t>
  </si>
  <si>
    <t>All</t>
  </si>
  <si>
    <t>Financial Criteria</t>
  </si>
  <si>
    <t>Technical Criteria</t>
  </si>
  <si>
    <t>Extract from Tender</t>
  </si>
  <si>
    <t>Date</t>
  </si>
  <si>
    <t>Function</t>
  </si>
  <si>
    <t>Project Questionnaire</t>
  </si>
  <si>
    <t>Quatro</t>
  </si>
  <si>
    <t>TSTS+Quatro</t>
  </si>
  <si>
    <t>Customer Response</t>
  </si>
  <si>
    <t>Sl.No</t>
  </si>
  <si>
    <t>a) Project in Hand</t>
  </si>
  <si>
    <t>b) Upcoming Tender</t>
  </si>
  <si>
    <t>c) Budgetary Quote</t>
  </si>
  <si>
    <r>
      <t>a)</t>
    </r>
    <r>
      <rPr>
        <sz val="7"/>
        <color rgb="FF000000"/>
        <rFont val="Times New Roman"/>
        <family val="1"/>
      </rPr>
      <t xml:space="preserve">   </t>
    </r>
    <r>
      <rPr>
        <sz val="10"/>
        <color rgb="FF000000"/>
        <rFont val="Arial"/>
        <family val="2"/>
      </rPr>
      <t>Attached</t>
    </r>
  </si>
  <si>
    <r>
      <t>b)</t>
    </r>
    <r>
      <rPr>
        <sz val="7"/>
        <color rgb="FF000000"/>
        <rFont val="Times New Roman"/>
        <family val="1"/>
      </rPr>
      <t xml:space="preserve">   </t>
    </r>
    <r>
      <rPr>
        <sz val="10"/>
        <color rgb="FF000000"/>
        <rFont val="Arial"/>
        <family val="2"/>
      </rPr>
      <t>Not Available</t>
    </r>
  </si>
  <si>
    <r>
      <t>b)</t>
    </r>
    <r>
      <rPr>
        <sz val="7"/>
        <color rgb="FF000000"/>
        <rFont val="Times New Roman"/>
        <family val="1"/>
      </rPr>
      <t xml:space="preserve">   </t>
    </r>
    <r>
      <rPr>
        <sz val="10"/>
        <color rgb="FF000000"/>
        <rFont val="Arial"/>
        <family val="2"/>
      </rPr>
      <t xml:space="preserve"> Not Available</t>
    </r>
  </si>
  <si>
    <r>
      <t>a)</t>
    </r>
    <r>
      <rPr>
        <sz val="7"/>
        <color rgb="FF000000"/>
        <rFont val="Times New Roman"/>
        <family val="1"/>
      </rPr>
      <t xml:space="preserve">   </t>
    </r>
    <r>
      <rPr>
        <sz val="10"/>
        <color rgb="FF000000"/>
        <rFont val="Arial"/>
        <family val="2"/>
      </rPr>
      <t xml:space="preserve">Stations </t>
    </r>
  </si>
  <si>
    <r>
      <t>b)</t>
    </r>
    <r>
      <rPr>
        <sz val="7"/>
        <color rgb="FF000000"/>
        <rFont val="Times New Roman"/>
        <family val="1"/>
      </rPr>
      <t xml:space="preserve">   </t>
    </r>
    <r>
      <rPr>
        <sz val="10"/>
        <color rgb="FF000000"/>
        <rFont val="Arial"/>
        <family val="2"/>
      </rPr>
      <t>Auto Block Signalling</t>
    </r>
  </si>
  <si>
    <r>
      <t>c)</t>
    </r>
    <r>
      <rPr>
        <sz val="7"/>
        <color rgb="FF000000"/>
        <rFont val="Times New Roman"/>
        <family val="1"/>
      </rPr>
      <t xml:space="preserve">   </t>
    </r>
    <r>
      <rPr>
        <sz val="10"/>
        <color rgb="FF000000"/>
        <rFont val="Arial"/>
        <family val="2"/>
      </rPr>
      <t xml:space="preserve"> Intermediate Block Signalling</t>
    </r>
  </si>
  <si>
    <r>
      <t>d)</t>
    </r>
    <r>
      <rPr>
        <sz val="7"/>
        <color rgb="FF000000"/>
        <rFont val="Times New Roman"/>
        <family val="1"/>
      </rPr>
      <t xml:space="preserve">   </t>
    </r>
    <r>
      <rPr>
        <sz val="10"/>
        <color rgb="FF000000"/>
        <rFont val="Arial"/>
        <family val="2"/>
      </rPr>
      <t xml:space="preserve"> Absolute Block Application</t>
    </r>
  </si>
  <si>
    <r>
      <t>e)</t>
    </r>
    <r>
      <rPr>
        <sz val="7"/>
        <color rgb="FF000000"/>
        <rFont val="Times New Roman"/>
        <family val="1"/>
      </rPr>
      <t xml:space="preserve">   </t>
    </r>
    <r>
      <rPr>
        <sz val="10"/>
        <color rgb="FF000000"/>
        <rFont val="Arial"/>
        <family val="2"/>
      </rPr>
      <t xml:space="preserve"> Level Crossing</t>
    </r>
  </si>
  <si>
    <r>
      <t>f)</t>
    </r>
    <r>
      <rPr>
        <sz val="7"/>
        <color rgb="FF000000"/>
        <rFont val="Times New Roman"/>
        <family val="1"/>
      </rPr>
      <t xml:space="preserve">    </t>
    </r>
    <r>
      <rPr>
        <sz val="10"/>
        <color rgb="FF000000"/>
        <rFont val="Arial"/>
        <family val="2"/>
      </rPr>
      <t>Others</t>
    </r>
  </si>
  <si>
    <r>
      <t>c)</t>
    </r>
    <r>
      <rPr>
        <sz val="7"/>
        <color rgb="FF000000"/>
        <rFont val="Times New Roman"/>
        <family val="1"/>
      </rPr>
      <t xml:space="preserve">   </t>
    </r>
    <r>
      <rPr>
        <sz val="10"/>
        <color rgb="FF000000"/>
        <rFont val="Arial"/>
        <family val="2"/>
      </rPr>
      <t xml:space="preserve">Yes </t>
    </r>
  </si>
  <si>
    <r>
      <t>d)</t>
    </r>
    <r>
      <rPr>
        <sz val="7"/>
        <color rgb="FF000000"/>
        <rFont val="Times New Roman"/>
        <family val="1"/>
      </rPr>
      <t xml:space="preserve">   </t>
    </r>
    <r>
      <rPr>
        <sz val="10"/>
        <color rgb="FF000000"/>
        <rFont val="Arial"/>
        <family val="2"/>
      </rPr>
      <t>NO</t>
    </r>
  </si>
  <si>
    <r>
      <t>a)</t>
    </r>
    <r>
      <rPr>
        <sz val="7"/>
        <color rgb="FF000000"/>
        <rFont val="Times New Roman"/>
        <family val="1"/>
      </rPr>
      <t xml:space="preserve">   </t>
    </r>
    <r>
      <rPr>
        <sz val="10"/>
        <color rgb="FF000000"/>
        <rFont val="Arial"/>
        <family val="2"/>
      </rPr>
      <t>Yes</t>
    </r>
  </si>
  <si>
    <r>
      <t>b)</t>
    </r>
    <r>
      <rPr>
        <sz val="7"/>
        <color rgb="FF000000"/>
        <rFont val="Times New Roman"/>
        <family val="1"/>
      </rPr>
      <t xml:space="preserve">   </t>
    </r>
    <r>
      <rPr>
        <sz val="10"/>
        <color rgb="FF000000"/>
        <rFont val="Arial"/>
        <family val="2"/>
      </rPr>
      <t>NO</t>
    </r>
  </si>
  <si>
    <t>If “Yes“- Kindly clarify</t>
  </si>
  <si>
    <t xml:space="preserve">Training required for Number of Mandays: </t>
  </si>
  <si>
    <t>If Yes Kindly specify if it is required for</t>
  </si>
  <si>
    <t xml:space="preserve">1. Inquiry is for </t>
  </si>
  <si>
    <r>
      <t>2.</t>
    </r>
    <r>
      <rPr>
        <b/>
        <sz val="7"/>
        <color rgb="FF000000"/>
        <rFont val="Times New Roman"/>
        <family val="1"/>
      </rPr>
      <t>  </t>
    </r>
    <r>
      <rPr>
        <b/>
        <sz val="10"/>
        <color rgb="FF000000"/>
        <rFont val="Arial"/>
        <family val="2"/>
      </rPr>
      <t>Complete Tender Document along with the annexures</t>
    </r>
  </si>
  <si>
    <t xml:space="preserve">3. Signal Interlocking Plan </t>
  </si>
  <si>
    <t>Application details if “F” is selected:</t>
  </si>
  <si>
    <r>
      <t xml:space="preserve"> </t>
    </r>
    <r>
      <rPr>
        <sz val="10"/>
        <color rgb="FF000000"/>
        <rFont val="Arial"/>
        <family val="2"/>
      </rPr>
      <t>I.</t>
    </r>
    <r>
      <rPr>
        <sz val="7"/>
        <color rgb="FF000000"/>
        <rFont val="Times New Roman"/>
        <family val="1"/>
      </rPr>
      <t xml:space="preserve">   </t>
    </r>
    <r>
      <rPr>
        <sz val="10"/>
        <color rgb="FF000000"/>
        <rFont val="Arial"/>
        <family val="2"/>
      </rPr>
      <t>the type of architecture to be considered</t>
    </r>
  </si>
  <si>
    <r>
      <t>II.</t>
    </r>
    <r>
      <rPr>
        <sz val="7"/>
        <color rgb="FF000000"/>
        <rFont val="Times New Roman"/>
        <family val="1"/>
      </rPr>
      <t> </t>
    </r>
    <r>
      <rPr>
        <sz val="10"/>
        <color rgb="FF000000"/>
        <rFont val="Arial"/>
        <family val="2"/>
      </rPr>
      <t>In case of Decentralised Architecture kindly give the details regarding number of Number of Locations / Goomties to be considered in each station</t>
    </r>
  </si>
  <si>
    <r>
      <t>III.</t>
    </r>
    <r>
      <rPr>
        <sz val="7"/>
        <color rgb="FF000000"/>
        <rFont val="Times New Roman"/>
        <family val="1"/>
      </rPr>
      <t>  </t>
    </r>
    <r>
      <rPr>
        <sz val="10"/>
        <color rgb="FF000000"/>
        <rFont val="Arial"/>
        <family val="2"/>
      </rPr>
      <t>Separate Evaluator has to be considered for UP line and DN Lines</t>
    </r>
  </si>
  <si>
    <r>
      <t>IV.</t>
    </r>
    <r>
      <rPr>
        <sz val="7"/>
        <color rgb="FF000000"/>
        <rFont val="Times New Roman"/>
        <family val="1"/>
      </rPr>
      <t xml:space="preserve">    </t>
    </r>
    <r>
      <rPr>
        <sz val="10"/>
        <color rgb="FF000000"/>
        <rFont val="Arial"/>
        <family val="2"/>
      </rPr>
      <t>Detection Points and Track Section Details in Stations for Goomty wise (UP Line &amp; DN Line wise if required) for the complete project</t>
    </r>
  </si>
  <si>
    <t>I. Number of Auto Location Huts in between the Stations</t>
  </si>
  <si>
    <t>II.Number of Signals to be considered for UP line and DN Line for each ALH</t>
  </si>
  <si>
    <t>III.Number of Detection Points and Track Sections to be considered per Auto Location Hut / Auto location Hut wise or attach SIP for the Project</t>
  </si>
  <si>
    <r>
      <t>I.</t>
    </r>
    <r>
      <rPr>
        <sz val="7"/>
        <color rgb="FF000000"/>
        <rFont val="Times New Roman"/>
        <family val="1"/>
      </rPr>
      <t xml:space="preserve"> </t>
    </r>
    <r>
      <rPr>
        <sz val="10"/>
        <color rgb="FF000000"/>
        <rFont val="Arial"/>
        <family val="2"/>
      </rPr>
      <t>Number of Intermediate Block sections to be considered</t>
    </r>
  </si>
  <si>
    <r>
      <t>a)</t>
    </r>
    <r>
      <rPr>
        <sz val="7"/>
        <color rgb="FF000000"/>
        <rFont val="Times New Roman"/>
        <family val="1"/>
      </rPr>
      <t xml:space="preserve">  </t>
    </r>
    <r>
      <rPr>
        <sz val="10"/>
        <color rgb="FF000000"/>
        <rFont val="Arial"/>
        <family val="2"/>
      </rPr>
      <t xml:space="preserve">If Virtual Supervisory has to be considered </t>
    </r>
  </si>
  <si>
    <t>b) If additional Detection Points have to be considered for Supervisory Application</t>
  </si>
  <si>
    <t>c) If output has to be given for Supervisory Track Sections</t>
  </si>
  <si>
    <t>a) Supervision of Installation, Testing and Commissioning</t>
  </si>
  <si>
    <r>
      <t>b)</t>
    </r>
    <r>
      <rPr>
        <sz val="7"/>
        <color rgb="FF000000"/>
        <rFont val="Times New Roman"/>
        <family val="1"/>
      </rPr>
      <t> </t>
    </r>
    <r>
      <rPr>
        <sz val="10"/>
        <color rgb="FF000000"/>
        <rFont val="Arial"/>
        <family val="2"/>
      </rPr>
      <t>Installation, Testing and Commissioning</t>
    </r>
  </si>
  <si>
    <t>a) End Customer</t>
  </si>
  <si>
    <t>b) Sub-contractor</t>
  </si>
  <si>
    <t>a) Yes</t>
  </si>
  <si>
    <r>
      <t>b)</t>
    </r>
    <r>
      <rPr>
        <sz val="7"/>
        <color rgb="FF000000"/>
        <rFont val="Times New Roman"/>
        <family val="1"/>
      </rPr>
      <t xml:space="preserve"> </t>
    </r>
    <r>
      <rPr>
        <sz val="10"/>
        <color rgb="FF000000"/>
        <rFont val="Arial"/>
        <family val="2"/>
      </rPr>
      <t>NO</t>
    </r>
  </si>
  <si>
    <r>
      <t>a)</t>
    </r>
    <r>
      <rPr>
        <sz val="7"/>
        <color rgb="FF000000"/>
        <rFont val="Times New Roman"/>
        <family val="1"/>
      </rPr>
      <t xml:space="preserve"> </t>
    </r>
    <r>
      <rPr>
        <sz val="10"/>
        <color rgb="FF000000"/>
        <rFont val="Arial"/>
        <family val="2"/>
      </rPr>
      <t>All the components inc. Mechanical Components</t>
    </r>
  </si>
  <si>
    <r>
      <t>b)</t>
    </r>
    <r>
      <rPr>
        <sz val="7"/>
        <color rgb="FF000000"/>
        <rFont val="Times New Roman"/>
        <family val="1"/>
      </rPr>
      <t xml:space="preserve">  </t>
    </r>
    <r>
      <rPr>
        <sz val="10"/>
        <color rgb="FF000000"/>
        <rFont val="Arial"/>
        <family val="2"/>
      </rPr>
      <t>Sensors (incl. Rail Claw and BBK) and Boards</t>
    </r>
  </si>
  <si>
    <t>% of Spares required</t>
  </si>
  <si>
    <r>
      <t>b)</t>
    </r>
    <r>
      <rPr>
        <sz val="7"/>
        <color rgb="FF000000"/>
        <rFont val="Times New Roman"/>
        <family val="1"/>
      </rPr>
      <t>  </t>
    </r>
    <r>
      <rPr>
        <sz val="10"/>
        <color rgb="FF000000"/>
        <rFont val="Arial"/>
        <family val="2"/>
      </rPr>
      <t>NO</t>
    </r>
  </si>
  <si>
    <t>% of Spare Slot required</t>
  </si>
  <si>
    <r>
      <t>c)</t>
    </r>
    <r>
      <rPr>
        <sz val="7"/>
        <color rgb="FF000000"/>
        <rFont val="Times New Roman"/>
        <family val="1"/>
      </rPr>
      <t xml:space="preserve">  </t>
    </r>
    <r>
      <rPr>
        <sz val="10"/>
        <color rgb="FF000000"/>
        <rFont val="Arial"/>
        <family val="2"/>
      </rPr>
      <t>Sensors(incl. Rail Claw and BBK), Boards and Backplanes</t>
    </r>
  </si>
  <si>
    <r>
      <t>b)</t>
    </r>
    <r>
      <rPr>
        <sz val="7"/>
        <color rgb="FF000000"/>
        <rFont val="Times New Roman"/>
        <family val="1"/>
      </rPr>
      <t> </t>
    </r>
    <r>
      <rPr>
        <sz val="10"/>
        <color rgb="FF000000"/>
        <rFont val="Arial"/>
        <family val="2"/>
      </rPr>
      <t>Decentralised</t>
    </r>
  </si>
  <si>
    <r>
      <t>a)</t>
    </r>
    <r>
      <rPr>
        <sz val="7"/>
        <color rgb="FF000000"/>
        <rFont val="Times New Roman"/>
        <family val="1"/>
      </rPr>
      <t> </t>
    </r>
    <r>
      <rPr>
        <sz val="10"/>
        <color rgb="FF000000"/>
        <rFont val="Arial"/>
        <family val="2"/>
      </rPr>
      <t>Centralised</t>
    </r>
  </si>
  <si>
    <r>
      <t>II.</t>
    </r>
    <r>
      <rPr>
        <sz val="7"/>
        <color rgb="FF000000"/>
        <rFont val="Times New Roman"/>
        <family val="1"/>
      </rPr>
      <t xml:space="preserve"> </t>
    </r>
    <r>
      <rPr>
        <sz val="10"/>
        <color rgb="FF000000"/>
        <rFont val="Arial"/>
        <family val="2"/>
      </rPr>
      <t>If redundant, then whether UP Main / DN Redundant can be combined in one Evaluator</t>
    </r>
  </si>
  <si>
    <t>Clause NO.</t>
  </si>
  <si>
    <t>Page No</t>
  </si>
  <si>
    <t>Name of the Tender/RFQ Document</t>
  </si>
  <si>
    <t>TENDER/RFQ CLARIFICATION QUESTIONNAIRE/Pre-Bid Query</t>
  </si>
  <si>
    <t>Clause Particulars</t>
  </si>
  <si>
    <t>Compliance by Frauscher</t>
  </si>
  <si>
    <t>Tender/RFQ Extract OR Customer requirements</t>
  </si>
  <si>
    <t>For Submission to customer if required</t>
  </si>
  <si>
    <t>Manisha Dhull</t>
  </si>
  <si>
    <t xml:space="preserve">Updated by </t>
  </si>
  <si>
    <t>Reason of Updation/Change</t>
  </si>
  <si>
    <t>Customer requirements Format is changed for detailed analysis
Management review form is changed for the purpose of provising cost to project for  traking project cost profitability
Rev &amp; Approvals- Updated as per current hierachy</t>
  </si>
  <si>
    <t>Template version</t>
  </si>
  <si>
    <t>Classification 2 - Internal</t>
  </si>
  <si>
    <t>Language: EN</t>
  </si>
  <si>
    <t>Bid Process Sheet</t>
  </si>
  <si>
    <t>FSTI/BD/QSF/BPS</t>
  </si>
  <si>
    <t>Version No.</t>
  </si>
  <si>
    <t>Compliance_Comment</t>
  </si>
  <si>
    <t>Front page added, Format number for individual sheets removed, Not applicable added in drop down list for technical review and management review.
In Tab No 14(others), Few Inputs added</t>
  </si>
  <si>
    <t>Comments if any</t>
  </si>
  <si>
    <t>SR. No</t>
  </si>
  <si>
    <t>Document Name</t>
  </si>
  <si>
    <t>Frauscher/Bidder Queries</t>
  </si>
  <si>
    <t>Internal</t>
  </si>
  <si>
    <t>Requirements</t>
  </si>
  <si>
    <t>Market Analysis is removed from Requirement management;
Pre bid Query  sheet is removed and added into customer requirement
Separate sheet is created for project costing
Check list is added
MR form is customized( to be filled up for order value more than 3 CR)</t>
  </si>
  <si>
    <t>EMD</t>
  </si>
  <si>
    <t>More fields added into introduction and requirement management</t>
  </si>
  <si>
    <t>TR approval Applicability change and Bid Bom Template is changed</t>
  </si>
  <si>
    <t>Row No 31 to 54 are added/changed into project charter sheet</t>
  </si>
  <si>
    <t>d) if ouput is required in case of Virtual supervisory track.</t>
  </si>
  <si>
    <t>e) mandatory* FDS is to be considered.</t>
  </si>
  <si>
    <t>if yes* separate schedule for spare or not</t>
  </si>
  <si>
    <t>Single</t>
  </si>
  <si>
    <t>Dual</t>
  </si>
  <si>
    <t>Quad</t>
  </si>
  <si>
    <t>OFC</t>
  </si>
  <si>
    <t>Both Quad &amp; OFC</t>
  </si>
  <si>
    <t>other</t>
  </si>
  <si>
    <t>Comment if Any</t>
  </si>
  <si>
    <t xml:space="preserve">14(i). Communication Media b/w evalautor to evaluator(single/Dual) </t>
  </si>
  <si>
    <t>14(ii).Ethernet switch considered (Quad/ OFC/ Both Quad/OFC/Other</t>
  </si>
  <si>
    <t>yes</t>
  </si>
  <si>
    <t>no</t>
  </si>
  <si>
    <r>
      <t>a)</t>
    </r>
    <r>
      <rPr>
        <sz val="7"/>
        <color rgb="FF000000"/>
        <rFont val="Times New Roman"/>
        <family val="1"/>
      </rPr>
      <t xml:space="preserve">   </t>
    </r>
    <r>
      <rPr>
        <sz val="10"/>
        <color rgb="FF000000"/>
        <rFont val="Arial"/>
        <family val="2"/>
      </rPr>
      <t>YES</t>
    </r>
  </si>
  <si>
    <t>Please Specify</t>
  </si>
  <si>
    <r>
      <t>a)</t>
    </r>
    <r>
      <rPr>
        <sz val="7"/>
        <color rgb="FF000000"/>
        <rFont val="Times New Roman"/>
        <family val="1"/>
      </rPr>
      <t xml:space="preserve">   </t>
    </r>
    <r>
      <rPr>
        <sz val="10"/>
        <color rgb="FF000000"/>
        <rFont val="Arial"/>
        <family val="2"/>
      </rPr>
      <t>NO( if NO, please consider as per mentioned guidelines)</t>
    </r>
  </si>
  <si>
    <r>
      <t>a)</t>
    </r>
    <r>
      <rPr>
        <sz val="7"/>
        <color rgb="FF000000"/>
        <rFont val="Times New Roman"/>
        <family val="1"/>
      </rPr>
      <t xml:space="preserve">   </t>
    </r>
    <r>
      <rPr>
        <sz val="10"/>
        <color rgb="FF000000"/>
        <rFont val="Arial"/>
        <family val="2"/>
      </rPr>
      <t>INDIAN RAILWAY</t>
    </r>
  </si>
  <si>
    <t>B) METROS</t>
  </si>
  <si>
    <t>Please Specify(if nothing is mentioned into Tender document , Please refer guidelines)</t>
  </si>
  <si>
    <t>Other General Guideines for Technical BOM</t>
  </si>
  <si>
    <t>a) YES</t>
  </si>
  <si>
    <t>4. Type of Product</t>
  </si>
  <si>
    <t xml:space="preserve">5. Application for which MSDAC is being procured for  </t>
  </si>
  <si>
    <t>6.  Volume (Total Number of DPs and TS)</t>
  </si>
  <si>
    <t>7. Cable length is given in Tender Documents/PO</t>
  </si>
  <si>
    <r>
      <t>8.</t>
    </r>
    <r>
      <rPr>
        <b/>
        <sz val="7"/>
        <color rgb="FF000000"/>
        <rFont val="Times New Roman"/>
        <family val="1"/>
      </rPr>
      <t> </t>
    </r>
    <r>
      <rPr>
        <b/>
        <sz val="10"/>
        <color rgb="FF000000"/>
        <rFont val="Arial"/>
        <family val="2"/>
      </rPr>
      <t>Rail Profile</t>
    </r>
  </si>
  <si>
    <r>
      <t>9.</t>
    </r>
    <r>
      <rPr>
        <b/>
        <sz val="7"/>
        <color rgb="FF000000"/>
        <rFont val="Times New Roman"/>
        <family val="1"/>
      </rPr>
      <t xml:space="preserve">   </t>
    </r>
    <r>
      <rPr>
        <b/>
        <sz val="10"/>
        <color rgb="FF000000"/>
        <rFont val="Arial"/>
        <family val="2"/>
      </rPr>
      <t>Vehicle Parameters</t>
    </r>
  </si>
  <si>
    <t>PBG</t>
  </si>
  <si>
    <t>Requirement category</t>
  </si>
  <si>
    <t>Review Outcome</t>
  </si>
  <si>
    <t>Review Comments</t>
  </si>
  <si>
    <t>Reviewed with/Communicated to</t>
  </si>
  <si>
    <t>Status</t>
  </si>
  <si>
    <t>index and sheet no 16 is added. Contract review, Management review , Project Questionnaire, Requirements management, Project costing is amended</t>
  </si>
  <si>
    <t>Refer Sheet No 17.</t>
  </si>
  <si>
    <t>14.a) LV box required in case of Station Yard</t>
  </si>
  <si>
    <t>14.b) Auto reset through AFTC/DCTC/Other Axle counter.</t>
  </si>
  <si>
    <t>Not applicable for station yard application</t>
  </si>
  <si>
    <t>d) Any other as per tender requirement</t>
  </si>
  <si>
    <r>
      <rPr>
        <b/>
        <sz val="10"/>
        <color rgb="FFFF0000"/>
        <rFont val="Calibri"/>
        <family val="2"/>
        <scheme val="minor"/>
      </rPr>
      <t xml:space="preserve">As a standard practice, Please make a note of following : </t>
    </r>
    <r>
      <rPr>
        <sz val="10"/>
        <color theme="1"/>
        <rFont val="Calibri"/>
        <family val="2"/>
        <scheme val="minor"/>
      </rPr>
      <t xml:space="preserve">
1.  1 No COM Board per Cubicle Max 40 AEB configuration can be done in COM Board, PSC quantity can be decided as per technical requirement.
2. AEB Boards and BSI are always equal to No of Wheel Sensors
3.  In metros, No need to consider deflector Plates.</t>
    </r>
    <r>
      <rPr>
        <i/>
        <sz val="10"/>
        <color theme="1"/>
        <rFont val="Calibri"/>
        <family val="2"/>
        <scheme val="minor"/>
      </rPr>
      <t xml:space="preserve"> 
4. For single detetion system , maximum we will go with BP-EXB-1 and BP-EXB-2
5. For Dual detetion system , maximum we will go with BP-EXB-4
6. </t>
    </r>
    <r>
      <rPr>
        <sz val="10"/>
        <color theme="1"/>
        <rFont val="Calibri"/>
        <family val="2"/>
        <scheme val="minor"/>
      </rPr>
      <t xml:space="preserve">15U Cubicle- 4 IO-Exb and only one BGT with switches
7. 20U Cubicle- 10 IO-Exb and 2 BGT with switches.
8. 35U Cubicle- 20 IO-exb and 4 BGT with switches.
9. Reset Box Qty : For Station : equal to No of Track section and For automatic block section : each line, each system can have one reset Box
10. Reset cubicle: For station :  maximum 22 reset box can be accomodated. 
11. Reset cooperative panel : for station and auto block , IBH, ABSOLUTE- maximum 6 reset box can be accomodated with 2 cooperation Key
</t>
    </r>
    <r>
      <rPr>
        <b/>
        <sz val="10"/>
        <color theme="1"/>
        <rFont val="Calibri"/>
        <family val="2"/>
        <scheme val="minor"/>
      </rPr>
      <t>12</t>
    </r>
    <r>
      <rPr>
        <sz val="10"/>
        <color theme="1"/>
        <rFont val="Calibri"/>
        <family val="2"/>
        <scheme val="minor"/>
      </rPr>
      <t xml:space="preserve">. </t>
    </r>
    <r>
      <rPr>
        <b/>
        <sz val="10"/>
        <color theme="1"/>
        <rFont val="Calibri"/>
        <family val="2"/>
        <scheme val="minor"/>
      </rPr>
      <t>For supervisory track section , FDS is mandatory</t>
    </r>
    <r>
      <rPr>
        <sz val="10"/>
        <color theme="1"/>
        <rFont val="Calibri"/>
        <family val="2"/>
        <scheme val="minor"/>
      </rPr>
      <t xml:space="preserve">
</t>
    </r>
    <r>
      <rPr>
        <b/>
        <sz val="10"/>
        <color theme="1"/>
        <rFont val="Calibri"/>
        <family val="2"/>
        <scheme val="minor"/>
      </rPr>
      <t>13.</t>
    </r>
    <r>
      <rPr>
        <sz val="10"/>
        <color theme="1"/>
        <rFont val="Calibri"/>
        <family val="2"/>
        <scheme val="minor"/>
      </rPr>
      <t xml:space="preserve"> 1 FDS equal to 110 participants(Maximum Limit)
</t>
    </r>
    <r>
      <rPr>
        <b/>
        <sz val="10"/>
        <color theme="1"/>
        <rFont val="Calibri"/>
        <family val="2"/>
        <scheme val="minor"/>
      </rPr>
      <t>14</t>
    </r>
    <r>
      <rPr>
        <sz val="10"/>
        <color theme="1"/>
        <rFont val="Calibri"/>
        <family val="2"/>
        <scheme val="minor"/>
      </rPr>
      <t xml:space="preserve">. For data transimission : 3 vital inputs can be sent through one IO in Quad mode and 6  non -vital inputs can be sent through one IO in Dual mode. 12  non -vital inputs can be sent through one IO in Single  mode. Accordingly we should calcuate the Qty of IO-EXB for data transmission. </t>
    </r>
    <r>
      <rPr>
        <b/>
        <sz val="10"/>
        <color rgb="FFFF0000"/>
        <rFont val="Calibri"/>
        <family val="2"/>
        <scheme val="minor"/>
      </rPr>
      <t>1 AEB Can maximum sent 24 arguments</t>
    </r>
    <r>
      <rPr>
        <sz val="10"/>
        <color theme="1"/>
        <rFont val="Calibri"/>
        <family val="2"/>
        <scheme val="minor"/>
      </rPr>
      <t xml:space="preserve">
</t>
    </r>
    <r>
      <rPr>
        <b/>
        <sz val="10"/>
        <color theme="1"/>
        <rFont val="Calibri"/>
        <family val="2"/>
        <scheme val="minor"/>
      </rPr>
      <t>15.</t>
    </r>
    <r>
      <rPr>
        <sz val="10"/>
        <color theme="1"/>
        <rFont val="Calibri"/>
        <family val="2"/>
        <scheme val="minor"/>
      </rPr>
      <t xml:space="preserve">  1 No of IO-EXB will be for output 2 track section
</t>
    </r>
    <r>
      <rPr>
        <b/>
        <sz val="10"/>
        <color theme="1"/>
        <rFont val="Calibri"/>
        <family val="2"/>
        <scheme val="minor"/>
      </rPr>
      <t>16.</t>
    </r>
    <r>
      <rPr>
        <sz val="10"/>
        <color theme="1"/>
        <rFont val="Calibri"/>
        <family val="2"/>
        <scheme val="minor"/>
      </rPr>
      <t xml:space="preserve">  Cable Length if not specified in tender document. 
</t>
    </r>
    <r>
      <rPr>
        <b/>
        <sz val="10"/>
        <color theme="1"/>
        <rFont val="Calibri"/>
        <family val="2"/>
        <scheme val="minor"/>
      </rPr>
      <t>For Station Application</t>
    </r>
    <r>
      <rPr>
        <sz val="10"/>
        <color theme="1"/>
        <rFont val="Calibri"/>
        <family val="2"/>
        <scheme val="minor"/>
      </rPr>
      <t xml:space="preserve"> :   1) For single detection -(75% of 5 Metre, 15% of 10 Metre and 10 % of 15 Metre)    2) Dual Detection System , for redundant system (75% of 10 Metre for redundant system , 25% of 15 Metre) and (75% of 5 Metre, 15% of 10 Metre and 10 % of 15 Metre) for non redundant system(main system)
</t>
    </r>
    <r>
      <rPr>
        <b/>
        <sz val="10"/>
        <color theme="1"/>
        <rFont val="Calibri"/>
        <family val="2"/>
        <scheme val="minor"/>
      </rPr>
      <t>For Auto Block Application</t>
    </r>
    <r>
      <rPr>
        <sz val="10"/>
        <color theme="1"/>
        <rFont val="Calibri"/>
        <family val="2"/>
        <scheme val="minor"/>
      </rPr>
      <t xml:space="preserve"> : ( 50% of 5 Metre, 50% of 10 Metre )
</t>
    </r>
    <r>
      <rPr>
        <b/>
        <sz val="10"/>
        <color theme="1"/>
        <rFont val="Calibri"/>
        <family val="2"/>
        <scheme val="minor"/>
      </rPr>
      <t>FOR IBH Application</t>
    </r>
    <r>
      <rPr>
        <sz val="10"/>
        <color theme="1"/>
        <rFont val="Calibri"/>
        <family val="2"/>
        <scheme val="minor"/>
      </rPr>
      <t xml:space="preserve"> : 1) For single detection all with 5 Metre 2) For dual detection -  50% of 5 Metre, 50% of 10 Metre 
</t>
    </r>
    <r>
      <rPr>
        <b/>
        <sz val="10"/>
        <color theme="1"/>
        <rFont val="Calibri"/>
        <family val="2"/>
        <scheme val="minor"/>
      </rPr>
      <t>For ABSOLUTE BLOCK</t>
    </r>
    <r>
      <rPr>
        <sz val="10"/>
        <color theme="1"/>
        <rFont val="Calibri"/>
        <family val="2"/>
        <scheme val="minor"/>
      </rPr>
      <t xml:space="preserve">: 1)For single detection all with 5 Metre 2) For dual detection -( 50% of 5 Metre, 50% of 10 Metre )
</t>
    </r>
    <r>
      <rPr>
        <b/>
        <sz val="10"/>
        <color theme="1"/>
        <rFont val="Calibri"/>
        <family val="2"/>
        <scheme val="minor"/>
      </rPr>
      <t>17</t>
    </r>
    <r>
      <rPr>
        <sz val="10"/>
        <color theme="1"/>
        <rFont val="Calibri"/>
        <family val="2"/>
        <scheme val="minor"/>
      </rPr>
      <t xml:space="preserve">. Rail Claw:  1) Indian Railways : 60Kg (assumption) -Internal and the same shall be confirmed by the project team at the time of execution
                            2)For Metros : We use Rail Claw SK 140-010(for Metros). For Ballast track , we have to consider 60 KG(Indian Rail Profile).
18. Protection tube flame resistant should be used for Metro projects. For indian Railway projects we use Normal Protection Tube
19. Communication Board COM-AdC101 should be used for Relay interface projects.  Communication board COM-FSE101  is for standard interface/Hitachi/ Kyosan for serial interface project . Communication board COM-FSFB is for serial interface projects for Alstom
20. Frauscher diagnostic system FDS101 SNMP- for alstom projects
21. Frauscher diagnostic system FDS102 for other Projects.
22. For Station Application , Please consider switch with out SFP in case of centralized application.
</t>
    </r>
    <r>
      <rPr>
        <b/>
        <sz val="10"/>
        <color rgb="FFFF0000"/>
        <rFont val="Calibri"/>
        <family val="2"/>
        <scheme val="minor"/>
      </rPr>
      <t>23. LV BOX are always considered (equal) for Point zone Track circuits or as per tender requirement/ as per Zonal railway Policy, Applicable for station application.</t>
    </r>
    <r>
      <rPr>
        <sz val="10"/>
        <color theme="1"/>
        <rFont val="Calibri"/>
        <family val="2"/>
        <scheme val="minor"/>
      </rPr>
      <t xml:space="preserve">
24. Ethernet Switches are to be considered as per tender requirement or scope is not clear than go with OFC ethernet OFC switches. IN EPC tender for auto block consider L3 Switch for stations and L2 switches for ALH/ RH/LSC.
</t>
    </r>
  </si>
  <si>
    <r>
      <t>a)</t>
    </r>
    <r>
      <rPr>
        <sz val="7"/>
        <color rgb="FF000000"/>
        <rFont val="Times New Roman"/>
        <family val="1"/>
      </rPr>
      <t xml:space="preserve">   </t>
    </r>
    <r>
      <rPr>
        <sz val="10"/>
        <color rgb="FF000000"/>
        <rFont val="Arial"/>
        <family val="2"/>
      </rPr>
      <t xml:space="preserve">Yes </t>
    </r>
  </si>
  <si>
    <t>c) Any other as per the Tender Requirement</t>
  </si>
  <si>
    <r>
      <rPr>
        <sz val="9"/>
        <color rgb="FF000000"/>
        <rFont val="Arial"/>
        <family val="2"/>
      </rPr>
      <t>III.</t>
    </r>
    <r>
      <rPr>
        <sz val="7"/>
        <color rgb="FF000000"/>
        <rFont val="Times New Roman"/>
        <family val="1"/>
      </rPr>
      <t>  </t>
    </r>
    <r>
      <rPr>
        <sz val="10"/>
        <color rgb="FF000000"/>
        <rFont val="Arial"/>
        <family val="2"/>
      </rPr>
      <t>Separate Evaluator has to be considered for UP line and DN Lines</t>
    </r>
  </si>
  <si>
    <t>e) Any other as per the Tender Requirement</t>
  </si>
  <si>
    <t>if yes* separate schedule or nor ( Please specify Requirement)</t>
  </si>
  <si>
    <t>MOU</t>
  </si>
  <si>
    <t>Power Supply requirements</t>
  </si>
  <si>
    <t>Spare List</t>
  </si>
  <si>
    <t>To check if asked into The Tender documents</t>
  </si>
  <si>
    <t xml:space="preserve">Single Authorization </t>
  </si>
  <si>
    <t>Only for Store tender</t>
  </si>
  <si>
    <t>Unit Price Break Up</t>
  </si>
  <si>
    <t>Clause by Clause compliance</t>
  </si>
  <si>
    <t>Generally asked in Metro tenders</t>
  </si>
  <si>
    <t>Peformance certificates</t>
  </si>
  <si>
    <t>Safety Certificates</t>
  </si>
  <si>
    <t>Generally asked in Store Tenders</t>
  </si>
  <si>
    <t>Audited balance sheet</t>
  </si>
  <si>
    <t>For Direct Tender participation</t>
  </si>
  <si>
    <t>Completion certificates</t>
  </si>
  <si>
    <t>Project Insurance</t>
  </si>
  <si>
    <t>Tender Fee</t>
  </si>
  <si>
    <t>GST certificate</t>
  </si>
  <si>
    <t>PAN CARD</t>
  </si>
  <si>
    <t>NEFT mandate form</t>
  </si>
  <si>
    <t>Board of resolution</t>
  </si>
  <si>
    <t>Local Content Certificates</t>
  </si>
  <si>
    <t>Article of Association</t>
  </si>
  <si>
    <t>Power of Attorney</t>
  </si>
  <si>
    <t>Last accepted Rate Copy along with Proof of inspection and dispacth</t>
  </si>
  <si>
    <t>Organisational Chart</t>
  </si>
  <si>
    <t>For AMC Tender for Direct Tender participation</t>
  </si>
  <si>
    <t>PF Details</t>
  </si>
  <si>
    <t>ESIC Details</t>
  </si>
  <si>
    <t>For direct metro tender and Direct AMC Tender</t>
  </si>
  <si>
    <t>List of Completed order</t>
  </si>
  <si>
    <t>List of Orders in hand</t>
  </si>
  <si>
    <t>For direct tender participation for store Tenders</t>
  </si>
  <si>
    <t>Document asked into Tender ?( YES OR NO )</t>
  </si>
  <si>
    <t>Annexures</t>
  </si>
  <si>
    <t xml:space="preserve">any other documents </t>
  </si>
  <si>
    <t>Document Submitted to customer ( YES , NO , NA)</t>
  </si>
  <si>
    <t>11. Datatransmission for resetting/ LVPR/ACPR and Coperation is required or not , If yes</t>
  </si>
  <si>
    <t>12. Reset Requirement (Manually or Through EI)</t>
  </si>
  <si>
    <t>11.I. Data Transmission for Resetting/ Cooperation included.</t>
  </si>
  <si>
    <t>11.II. Any other signalling vital/Non vital data to be transferred</t>
  </si>
  <si>
    <t xml:space="preserve">13. Is Supervisory track section is required? </t>
  </si>
  <si>
    <t xml:space="preserve">14. Communication Media </t>
  </si>
  <si>
    <t xml:space="preserve">15. FDS considered </t>
  </si>
  <si>
    <t xml:space="preserve">16. Services Required </t>
  </si>
  <si>
    <t xml:space="preserve">17. Training required </t>
  </si>
  <si>
    <t>18. Spare Requirement</t>
  </si>
  <si>
    <t>V. Formation of track section (Continous/ Overlapped)</t>
  </si>
  <si>
    <r>
      <t xml:space="preserve">VI. Separate DP/TS provided for LSS/FSS/LC gates
</t>
    </r>
    <r>
      <rPr>
        <sz val="10"/>
        <rFont val="Arial"/>
        <family val="2"/>
      </rPr>
      <t xml:space="preserve">    (Comment IF any)</t>
    </r>
  </si>
  <si>
    <r>
      <t>VII</t>
    </r>
    <r>
      <rPr>
        <sz val="7"/>
        <color rgb="FF000000"/>
        <rFont val="Times New Roman"/>
        <family val="1"/>
      </rPr>
      <t>  </t>
    </r>
    <r>
      <rPr>
        <sz val="10"/>
        <color rgb="FF000000"/>
        <rFont val="Arial"/>
        <family val="2"/>
      </rPr>
      <t>Separate Evaluator has to be considered for UP line and DN Lines</t>
    </r>
  </si>
  <si>
    <r>
      <t>IV.</t>
    </r>
    <r>
      <rPr>
        <sz val="7"/>
        <color rgb="FF000000"/>
        <rFont val="Times New Roman"/>
        <family val="1"/>
      </rPr>
      <t>  </t>
    </r>
    <r>
      <rPr>
        <sz val="10"/>
        <color rgb="FF000000"/>
        <rFont val="Arial"/>
        <family val="2"/>
      </rPr>
      <t>Separate Evaluator has to be considered for UP line and DN Lines</t>
    </r>
  </si>
  <si>
    <t>10 (C). Intermediate Block Signalling Application, Kindly Clarify</t>
  </si>
  <si>
    <t>10 (B) Auto Block Application. Kindly clarify</t>
  </si>
  <si>
    <t>10 (A) Station Application. Kindly clarify</t>
  </si>
  <si>
    <t>FAdC R2</t>
  </si>
  <si>
    <r>
      <t>19.</t>
    </r>
    <r>
      <rPr>
        <b/>
        <sz val="7"/>
        <color rgb="FF000000"/>
        <rFont val="Times New Roman"/>
        <family val="1"/>
      </rPr>
      <t> </t>
    </r>
    <r>
      <rPr>
        <b/>
        <sz val="10"/>
        <color rgb="FF000000"/>
        <rFont val="Arial"/>
        <family val="2"/>
      </rPr>
      <t>Spare Slot Requirement</t>
    </r>
  </si>
  <si>
    <t>20. Tool Kit requirement</t>
  </si>
  <si>
    <t>21. Delivery Period</t>
  </si>
  <si>
    <t xml:space="preserve">22.  Other comments if any : </t>
  </si>
  <si>
    <t>Application / Single detection / dual detection</t>
  </si>
  <si>
    <t>550 DP as per NIT</t>
  </si>
  <si>
    <t>Refer Assumption list</t>
  </si>
  <si>
    <t>NA</t>
  </si>
  <si>
    <t>Spare</t>
  </si>
  <si>
    <t>DN Line</t>
  </si>
  <si>
    <t>UP Line</t>
  </si>
  <si>
    <t>MAIN</t>
  </si>
  <si>
    <t>DN &amp; UP Main</t>
  </si>
  <si>
    <t>DN &amp; UP Redundant</t>
  </si>
  <si>
    <t>DP</t>
  </si>
  <si>
    <t>TS</t>
  </si>
  <si>
    <t>Chaksu</t>
  </si>
  <si>
    <t>Jaipur-Durgapura</t>
  </si>
  <si>
    <t>Jaipur JN</t>
  </si>
  <si>
    <t xml:space="preserve">Channani </t>
  </si>
  <si>
    <t>ALH-1</t>
  </si>
  <si>
    <t>Banasthali</t>
  </si>
  <si>
    <t>Durgapura</t>
  </si>
  <si>
    <t>Sirsa</t>
  </si>
  <si>
    <t>Durgapura-Sanganer</t>
  </si>
  <si>
    <t>Irsada</t>
  </si>
  <si>
    <t xml:space="preserve">Sanganer </t>
  </si>
  <si>
    <t>Chauth</t>
  </si>
  <si>
    <t>Sanganer-Sheodaspura</t>
  </si>
  <si>
    <t>Devpura</t>
  </si>
  <si>
    <t>ALH-2</t>
  </si>
  <si>
    <t>Snaganer</t>
  </si>
  <si>
    <t>ALH-3</t>
  </si>
  <si>
    <t>To Match the Quantity</t>
  </si>
  <si>
    <t>Sheodaspura</t>
  </si>
  <si>
    <t>ALH-4</t>
  </si>
  <si>
    <t>Total DP ABS</t>
  </si>
  <si>
    <t>Total TS ABS</t>
  </si>
  <si>
    <t>Total DP YARD</t>
  </si>
  <si>
    <t>Total TS YARD</t>
  </si>
  <si>
    <t>Total DP</t>
  </si>
  <si>
    <t>Total TS</t>
  </si>
  <si>
    <t>No of Location</t>
  </si>
  <si>
    <t>SAP CODE</t>
  </si>
  <si>
    <t>Description</t>
  </si>
  <si>
    <t>Total</t>
  </si>
  <si>
    <t>OUTDOOR</t>
  </si>
  <si>
    <t>L</t>
  </si>
  <si>
    <t>SK140-011RSR180GS05BBIKM12-22GS02,IN4.8m</t>
  </si>
  <si>
    <t>SK140-011RSR180GS05BBIKM12-22GS02,IN9.8m</t>
  </si>
  <si>
    <t>SK140-011,RSR180GS05,BBIK M12-22,IN14.8m</t>
  </si>
  <si>
    <t>Track lead junction box TLJB-01</t>
  </si>
  <si>
    <t>Frauscher Rail Deflector FRD001 GS02 60kg</t>
  </si>
  <si>
    <t>Strain relief clamp SRC- IN make</t>
  </si>
  <si>
    <t>Line Verification Box LVB-01</t>
  </si>
  <si>
    <t>INDOOR</t>
  </si>
  <si>
    <t>Overvoltage protection BSI004 GS01 CC !</t>
  </si>
  <si>
    <t>Board rack BGT07 84TE</t>
  </si>
  <si>
    <t>Backplane BP-PWR-4</t>
  </si>
  <si>
    <t>Backplane BP-PWR-8</t>
  </si>
  <si>
    <t>Backplane BP-EXB101-1</t>
  </si>
  <si>
    <t>Backplane BP-EXB101-2</t>
  </si>
  <si>
    <t>Backplane BP-EXB101-4</t>
  </si>
  <si>
    <t>Extension Board IO-EXB</t>
  </si>
  <si>
    <t>Backplane connector</t>
  </si>
  <si>
    <t>Power supply and Fuse Board PSC</t>
  </si>
  <si>
    <t>Communication Board COM-AdC101 GS02</t>
  </si>
  <si>
    <t>Evaluation board AEB101 GS07</t>
  </si>
  <si>
    <t>FDS102 GS01 for FAdC</t>
  </si>
  <si>
    <t>Cubical</t>
  </si>
  <si>
    <t>Axle counter cubicle FAR-002 with glass door and fan- 35 U Cubicle</t>
  </si>
  <si>
    <t>Axle counter cubicle - 20U (Half cubicle) FAR-004</t>
  </si>
  <si>
    <t>Axle counter cubicle FAR-007 wall mount 15UH , IP-50</t>
  </si>
  <si>
    <t>Wiring and Spares Materials</t>
  </si>
  <si>
    <t>Reset</t>
  </si>
  <si>
    <t>Reset box RSTBOXV01</t>
  </si>
  <si>
    <t>Reset cubicle GS02 with name plate and serial number plate</t>
  </si>
  <si>
    <t>Co-operation reset panel GS02</t>
  </si>
  <si>
    <t>Switch</t>
  </si>
  <si>
    <t>Etherwan L3 Managed Switch Part ref: Etherwan/EX73934E-0VB</t>
  </si>
  <si>
    <t xml:space="preserve">Etherwan L2 Managed switch </t>
  </si>
  <si>
    <t>Etherwan SFP</t>
  </si>
  <si>
    <t>Phoenix Modem TC Extender 6004 ETH-2S</t>
  </si>
  <si>
    <t>Surge arrester module DEHN , BXT ML4 BE 180 for DDW-225</t>
  </si>
  <si>
    <t>Surge arrester module DEHN , DG S 275 for DDW-225</t>
  </si>
  <si>
    <t>101375+102299+102300</t>
  </si>
  <si>
    <t>Base Part + Rail Adapters + Protective Conductor Terminal</t>
  </si>
  <si>
    <t>Misc</t>
  </si>
  <si>
    <t>Surge Protector 24V DC</t>
  </si>
  <si>
    <t>ON Delay Timer (External)( EAPL MAKE)</t>
  </si>
  <si>
    <t xml:space="preserve">RESET Relay OEN </t>
  </si>
  <si>
    <t>Patch Cables (average for 0.5m to 2m) (Straight)</t>
  </si>
  <si>
    <t>Rack-mounted fan 24 V (DC) for 482.6 mm (19") air throughput 320 – 480m³/h</t>
  </si>
  <si>
    <t>Tools</t>
  </si>
  <si>
    <t xml:space="preserve">Mainline Toolkit+ASD101+Multimeter Fluke </t>
  </si>
  <si>
    <t>FDS planning according to FAdC configuration</t>
  </si>
  <si>
    <t xml:space="preserve">Design for Axle Counter Circuits </t>
  </si>
  <si>
    <t>Newly created</t>
  </si>
  <si>
    <t>FAdC Assembling, labeling, and testing per AEB
&amp; COM</t>
  </si>
  <si>
    <t>Extended from AT</t>
  </si>
  <si>
    <t>Prewiring of cubicles for mounting of Board racks,Fuse protection of boards, internal wiring (Incl.terminals, cable, and cable duct) Labelling andtesting of cubicle</t>
  </si>
  <si>
    <t>PER DP</t>
  </si>
  <si>
    <t>PER AEB+COM+IO-EXB</t>
  </si>
  <si>
    <t>PER Cubical</t>
  </si>
  <si>
    <t>PER FDS</t>
  </si>
  <si>
    <t xml:space="preserve">Supervision of Installation , Testing and commissioning  </t>
  </si>
  <si>
    <t>Per Trip</t>
  </si>
  <si>
    <t>Prewired Code</t>
  </si>
  <si>
    <t>40% Discount</t>
  </si>
  <si>
    <t>Column1</t>
  </si>
  <si>
    <t>Main Qty</t>
  </si>
  <si>
    <t>Outdoor</t>
  </si>
  <si>
    <t>Indoor</t>
  </si>
  <si>
    <t>Backplane BP-PWR-0</t>
  </si>
  <si>
    <t>Misc.</t>
  </si>
  <si>
    <t>Station</t>
  </si>
  <si>
    <t>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</si>
</sst>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_-* #,##0.00_-;\-* #,##0.00_-;_-* &quot;-&quot;??_-;_-@_-"/>
  </numFmts>
  <fonts count="44"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11"/>
      <color theme="1"/>
      <name val="Calibri"/>
      <family val="2"/>
      <scheme val="minor"/>
    </font>
    <font>
      <b/>
      <sz val="10"/>
      <color theme="1"/>
      <name val="Arial"/>
      <family val="2"/>
    </font>
    <font>
      <b/>
      <sz val="10"/>
      <name val="Arial"/>
      <family val="2"/>
    </font>
    <font>
      <sz val="10"/>
      <name val="Arial"/>
      <family val="2"/>
    </font>
    <font>
      <sz val="10"/>
      <color rgb="FF000000"/>
      <name val="Arial"/>
      <family val="2"/>
    </font>
    <font>
      <i/>
      <sz val="11"/>
      <color theme="1"/>
      <name val="Calibri"/>
      <family val="2"/>
      <scheme val="minor"/>
    </font>
    <font>
      <sz val="9"/>
      <color rgb="FF000000"/>
      <name val="Arial"/>
      <family val="2"/>
    </font>
    <font>
      <sz val="11"/>
      <color rgb="FFFF0000"/>
      <name val="Calibri"/>
      <family val="2"/>
      <scheme val="minor"/>
    </font>
    <font>
      <sz val="11"/>
      <color theme="1"/>
      <name val="Calibri"/>
      <family val="2"/>
      <scheme val="minor"/>
    </font>
    <font>
      <b/>
      <sz val="11"/>
      <color rgb="FF000000"/>
      <name val="Arial"/>
      <family val="2"/>
    </font>
    <font>
      <sz val="7"/>
      <color rgb="FF000000"/>
      <name val="Times New Roman"/>
      <family val="1"/>
    </font>
    <font>
      <sz val="10"/>
      <color rgb="FF000000"/>
      <name val="Segoe UI Symbol"/>
      <family val="2"/>
    </font>
    <font>
      <sz val="10"/>
      <color rgb="FF000000"/>
      <name val="MS Gothic"/>
      <family val="3"/>
    </font>
    <font>
      <b/>
      <sz val="10"/>
      <color rgb="FF000000"/>
      <name val="Arial"/>
      <family val="2"/>
    </font>
    <font>
      <b/>
      <sz val="7"/>
      <color rgb="FF000000"/>
      <name val="Times New Roman"/>
      <family val="1"/>
    </font>
    <font>
      <sz val="11"/>
      <color theme="1"/>
      <name val="Arial"/>
      <family val="2"/>
    </font>
    <font>
      <b/>
      <sz val="14"/>
      <color theme="1"/>
      <name val="Calibri"/>
      <family val="2"/>
      <scheme val="minor"/>
    </font>
    <font>
      <b/>
      <sz val="12"/>
      <color theme="1"/>
      <name val="Calibri"/>
      <family val="2"/>
      <scheme val="minor"/>
    </font>
    <font>
      <b/>
      <sz val="11"/>
      <color rgb="FF00B0F0"/>
      <name val="Calibri"/>
      <family val="2"/>
      <scheme val="minor"/>
    </font>
    <font>
      <sz val="10"/>
      <color theme="1"/>
      <name val="Calibri"/>
      <family val="2"/>
      <scheme val="minor"/>
    </font>
    <font>
      <i/>
      <sz val="10"/>
      <color theme="1"/>
      <name val="Calibri"/>
      <family val="2"/>
      <scheme val="minor"/>
    </font>
    <font>
      <b/>
      <sz val="22"/>
      <color theme="1"/>
      <name val="Arial"/>
      <family val="2"/>
    </font>
    <font>
      <b/>
      <sz val="10"/>
      <color theme="5"/>
      <name val="Arial"/>
      <family val="2"/>
    </font>
    <font>
      <b/>
      <sz val="9"/>
      <color theme="5"/>
      <name val="Arial"/>
      <family val="2"/>
    </font>
    <font>
      <sz val="9"/>
      <color theme="1"/>
      <name val="Arial"/>
      <family val="2"/>
    </font>
    <font>
      <b/>
      <sz val="11"/>
      <color rgb="FF006D7E"/>
      <name val="Arial"/>
      <family val="2"/>
    </font>
    <font>
      <b/>
      <sz val="10"/>
      <color theme="1"/>
      <name val="Calibri"/>
      <family val="2"/>
      <scheme val="minor"/>
    </font>
    <font>
      <b/>
      <sz val="10"/>
      <color rgb="FFFF0000"/>
      <name val="Calibri"/>
      <family val="2"/>
      <scheme val="minor"/>
    </font>
    <font>
      <sz val="11"/>
      <color theme="0"/>
      <name val="Calibri"/>
      <family val="2"/>
      <scheme val="minor"/>
    </font>
    <font>
      <sz val="11"/>
      <color rgb="FF000000"/>
      <name val="Calibri"/>
      <family val="2"/>
    </font>
    <font>
      <b/>
      <i/>
      <sz val="11"/>
      <color theme="0" tint="-0.14999847407452621"/>
      <name val="Calibri"/>
      <family val="2"/>
      <scheme val="minor"/>
    </font>
    <font>
      <sz val="10"/>
      <name val="Trebuchet MS"/>
      <family val="2"/>
    </font>
    <font>
      <sz val="11"/>
      <name val="Calibri"/>
      <family val="2"/>
    </font>
    <font>
      <sz val="14"/>
      <color theme="1"/>
      <name val="Arial"/>
      <family val="2"/>
    </font>
    <font>
      <sz val="11"/>
      <color theme="1"/>
      <name val="Calibri"/>
      <family val="2"/>
    </font>
    <font>
      <b/>
      <sz val="11"/>
      <color rgb="FF000000"/>
      <name val="Calibri"/>
      <family val="2"/>
    </font>
  </fonts>
  <fills count="20">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3" tint="0.79998168889431442"/>
        <bgColor indexed="64"/>
      </patternFill>
    </fill>
    <fill>
      <patternFill patternType="solid">
        <fgColor rgb="FF00FFFF"/>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97F1FD"/>
        <bgColor indexed="64"/>
      </patternFill>
    </fill>
    <fill>
      <patternFill patternType="solid">
        <fgColor theme="0"/>
        <bgColor rgb="FF000000"/>
      </patternFill>
    </fill>
    <fill>
      <patternFill patternType="solid">
        <fgColor rgb="FFFFFFFF"/>
        <bgColor rgb="FF000000"/>
      </patternFill>
    </fill>
    <fill>
      <patternFill patternType="solid">
        <fgColor rgb="FFBDD7EE"/>
        <bgColor rgb="FF000000"/>
      </patternFill>
    </fill>
    <fill>
      <patternFill patternType="solid">
        <fgColor rgb="FFDDEBF7"/>
        <bgColor rgb="FF000000"/>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bottom/>
      <diagonal/>
    </border>
  </borders>
  <cellStyleXfs count="17">
    <xf numFmtId="0" fontId="0" fillId="0" borderId="0"/>
    <xf numFmtId="0" fontId="16" fillId="0" borderId="0"/>
    <xf numFmtId="0" fontId="11" fillId="0" borderId="0"/>
    <xf numFmtId="9" fontId="16" fillId="0" borderId="0" applyFont="0" applyFill="0" applyBorder="0" applyAlignment="0" applyProtection="0"/>
    <xf numFmtId="9" fontId="11" fillId="0" borderId="0" applyFont="0" applyFill="0" applyBorder="0" applyAlignment="0" applyProtection="0"/>
    <xf numFmtId="165" fontId="16" fillId="0" borderId="0" applyFont="0" applyFill="0" applyBorder="0" applyAlignment="0" applyProtection="0"/>
    <xf numFmtId="0" fontId="7" fillId="0" borderId="0"/>
    <xf numFmtId="9" fontId="7" fillId="0" borderId="0" applyFont="0" applyFill="0" applyBorder="0" applyAlignment="0" applyProtection="0"/>
    <xf numFmtId="0" fontId="6" fillId="0" borderId="0"/>
    <xf numFmtId="9" fontId="6" fillId="0" borderId="0" applyFont="0" applyFill="0" applyBorder="0" applyAlignment="0" applyProtection="0"/>
    <xf numFmtId="0" fontId="5" fillId="0" borderId="0"/>
    <xf numFmtId="9" fontId="5" fillId="0" borderId="0" applyFont="0" applyFill="0" applyBorder="0" applyAlignment="0" applyProtection="0"/>
    <xf numFmtId="0" fontId="4" fillId="0" borderId="0"/>
    <xf numFmtId="9" fontId="4" fillId="0" borderId="0" applyFont="0" applyFill="0" applyBorder="0" applyAlignment="0" applyProtection="0"/>
    <xf numFmtId="0" fontId="3" fillId="0" borderId="0"/>
    <xf numFmtId="0" fontId="2" fillId="0" borderId="0"/>
    <xf numFmtId="0" fontId="1" fillId="0" borderId="0"/>
  </cellStyleXfs>
  <cellXfs count="229">
    <xf numFmtId="0" fontId="0" fillId="0" borderId="0" xfId="0"/>
    <xf numFmtId="0" fontId="8" fillId="0" borderId="0" xfId="0" applyFont="1"/>
    <xf numFmtId="0" fontId="0" fillId="0" borderId="0" xfId="0" applyAlignment="1">
      <alignment wrapText="1"/>
    </xf>
    <xf numFmtId="0" fontId="8" fillId="0" borderId="0" xfId="0" applyFont="1" applyAlignment="1">
      <alignment vertical="center" wrapText="1"/>
    </xf>
    <xf numFmtId="0" fontId="13"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center"/>
    </xf>
    <xf numFmtId="0" fontId="8" fillId="2" borderId="30" xfId="0" applyFont="1" applyFill="1" applyBorder="1" applyAlignment="1">
      <alignment horizontal="center" vertical="center"/>
    </xf>
    <xf numFmtId="0" fontId="8" fillId="0" borderId="1" xfId="0" applyFont="1" applyBorder="1" applyAlignment="1">
      <alignment vertical="center" wrapText="1"/>
    </xf>
    <xf numFmtId="0" fontId="0" fillId="0" borderId="15" xfId="0" applyBorder="1" applyAlignment="1">
      <alignment horizontal="center" vertical="center"/>
    </xf>
    <xf numFmtId="0" fontId="0" fillId="0" borderId="3" xfId="0" applyBorder="1"/>
    <xf numFmtId="0" fontId="0" fillId="0" borderId="17" xfId="0" applyBorder="1" applyAlignment="1">
      <alignment horizontal="center" vertical="center"/>
    </xf>
    <xf numFmtId="0" fontId="0" fillId="0" borderId="19" xfId="0" applyBorder="1" applyAlignment="1">
      <alignment horizontal="center" vertical="center"/>
    </xf>
    <xf numFmtId="0" fontId="8" fillId="0" borderId="21" xfId="0" applyFont="1" applyBorder="1" applyAlignment="1">
      <alignment vertical="center" wrapText="1"/>
    </xf>
    <xf numFmtId="0" fontId="0" fillId="0" borderId="1" xfId="0" applyBorder="1"/>
    <xf numFmtId="0" fontId="12" fillId="0" borderId="0" xfId="0" applyFont="1" applyAlignment="1">
      <alignment horizontal="left" vertical="center" indent="2"/>
    </xf>
    <xf numFmtId="0" fontId="12" fillId="0" borderId="0" xfId="0" applyFont="1" applyAlignment="1">
      <alignment vertical="center"/>
    </xf>
    <xf numFmtId="0" fontId="19" fillId="0" borderId="0" xfId="0" applyFont="1" applyAlignment="1">
      <alignment vertical="center"/>
    </xf>
    <xf numFmtId="0" fontId="19" fillId="0" borderId="0" xfId="0" applyFont="1" applyAlignment="1">
      <alignment horizontal="left" vertical="center" indent="2"/>
    </xf>
    <xf numFmtId="0" fontId="20" fillId="0" borderId="0" xfId="0" applyFont="1" applyAlignment="1">
      <alignment horizontal="left" vertical="center" indent="2"/>
    </xf>
    <xf numFmtId="0" fontId="20" fillId="0" borderId="0" xfId="0" applyFont="1" applyAlignment="1">
      <alignment vertical="center"/>
    </xf>
    <xf numFmtId="0" fontId="19" fillId="0" borderId="0" xfId="0" applyFont="1" applyAlignment="1">
      <alignment horizontal="left" vertical="center" indent="3"/>
    </xf>
    <xf numFmtId="0" fontId="19" fillId="0" borderId="0" xfId="0" applyFont="1" applyAlignment="1">
      <alignment horizontal="left" vertical="center" indent="1"/>
    </xf>
    <xf numFmtId="0" fontId="12" fillId="0" borderId="1" xfId="0" applyFont="1" applyBorder="1" applyAlignment="1">
      <alignment vertical="center"/>
    </xf>
    <xf numFmtId="0" fontId="12" fillId="0" borderId="1" xfId="0" applyFont="1" applyBorder="1" applyAlignment="1">
      <alignment horizontal="left" vertical="top"/>
    </xf>
    <xf numFmtId="0" fontId="21" fillId="0" borderId="1" xfId="0" applyFont="1" applyBorder="1" applyAlignment="1">
      <alignment vertical="center"/>
    </xf>
    <xf numFmtId="0" fontId="19" fillId="0" borderId="1" xfId="0" applyFont="1" applyBorder="1" applyAlignment="1">
      <alignment vertical="center"/>
    </xf>
    <xf numFmtId="0" fontId="12" fillId="0" borderId="2" xfId="0" applyFont="1" applyBorder="1" applyAlignment="1">
      <alignment vertical="center"/>
    </xf>
    <xf numFmtId="0" fontId="12" fillId="0" borderId="1" xfId="0" applyFont="1" applyBorder="1" applyAlignment="1">
      <alignment vertical="center" wrapText="1"/>
    </xf>
    <xf numFmtId="0" fontId="12" fillId="0" borderId="1" xfId="0" applyFont="1" applyBorder="1" applyAlignment="1">
      <alignment horizontal="left" vertical="top" wrapText="1"/>
    </xf>
    <xf numFmtId="0" fontId="12" fillId="0" borderId="1" xfId="0" applyFont="1" applyBorder="1" applyAlignment="1">
      <alignment vertical="top"/>
    </xf>
    <xf numFmtId="0" fontId="19" fillId="0" borderId="1" xfId="0" applyFont="1" applyBorder="1" applyAlignment="1">
      <alignment horizontal="left" vertical="center" indent="2"/>
    </xf>
    <xf numFmtId="0" fontId="20" fillId="0" borderId="1" xfId="0" applyFont="1" applyBorder="1" applyAlignment="1">
      <alignment horizontal="left" vertical="center" indent="2"/>
    </xf>
    <xf numFmtId="0" fontId="12" fillId="0" borderId="0" xfId="0" applyFont="1" applyAlignment="1">
      <alignment horizontal="left" vertical="top"/>
    </xf>
    <xf numFmtId="0" fontId="0" fillId="0" borderId="1" xfId="0" applyBorder="1" applyAlignment="1">
      <alignment horizontal="center" vertical="center"/>
    </xf>
    <xf numFmtId="0" fontId="0" fillId="5" borderId="1" xfId="0" applyFill="1" applyBorder="1"/>
    <xf numFmtId="0" fontId="0" fillId="0" borderId="1" xfId="0" applyBorder="1" applyAlignment="1">
      <alignment wrapText="1"/>
    </xf>
    <xf numFmtId="0" fontId="0" fillId="0" borderId="1" xfId="0" applyBorder="1" applyAlignment="1">
      <alignment vertical="center"/>
    </xf>
    <xf numFmtId="0" fontId="21" fillId="0" borderId="1" xfId="0" applyFont="1" applyBorder="1" applyAlignment="1">
      <alignment vertical="top" wrapText="1"/>
    </xf>
    <xf numFmtId="0" fontId="26" fillId="0" borderId="0" xfId="0" applyFont="1"/>
    <xf numFmtId="0" fontId="0" fillId="0" borderId="32" xfId="0" applyBorder="1" applyAlignment="1">
      <alignment wrapText="1"/>
    </xf>
    <xf numFmtId="0" fontId="8" fillId="2" borderId="47" xfId="0" applyFont="1" applyFill="1" applyBorder="1" applyAlignment="1">
      <alignment horizontal="center" vertical="center" wrapText="1"/>
    </xf>
    <xf numFmtId="0" fontId="8" fillId="2" borderId="31" xfId="0" applyFont="1" applyFill="1" applyBorder="1" applyAlignment="1">
      <alignment horizontal="center" vertical="center"/>
    </xf>
    <xf numFmtId="0" fontId="8" fillId="2" borderId="48" xfId="0" applyFont="1" applyFill="1" applyBorder="1" applyAlignment="1">
      <alignment horizontal="center" wrapText="1"/>
    </xf>
    <xf numFmtId="0" fontId="29" fillId="0" borderId="0" xfId="0" applyFont="1"/>
    <xf numFmtId="0" fontId="23" fillId="0" borderId="0" xfId="0" applyFont="1"/>
    <xf numFmtId="0" fontId="23" fillId="9" borderId="0" xfId="0" applyFont="1" applyFill="1"/>
    <xf numFmtId="0" fontId="30" fillId="9" borderId="0" xfId="0" applyFont="1" applyFill="1" applyAlignment="1">
      <alignment horizontal="left"/>
    </xf>
    <xf numFmtId="0" fontId="31" fillId="9" borderId="0" xfId="0" applyFont="1" applyFill="1" applyAlignment="1">
      <alignment horizontal="left"/>
    </xf>
    <xf numFmtId="0" fontId="32" fillId="9" borderId="0" xfId="0" applyFont="1" applyFill="1"/>
    <xf numFmtId="0" fontId="23" fillId="0" borderId="0" xfId="0" applyFont="1" applyAlignment="1">
      <alignment vertical="center"/>
    </xf>
    <xf numFmtId="0" fontId="33" fillId="9" borderId="0" xfId="0" applyFont="1" applyFill="1"/>
    <xf numFmtId="0" fontId="8" fillId="10" borderId="45" xfId="0" applyFont="1" applyFill="1" applyBorder="1" applyAlignment="1">
      <alignment horizontal="center" vertical="center" wrapText="1"/>
    </xf>
    <xf numFmtId="0" fontId="0" fillId="10" borderId="16" xfId="0" applyFill="1" applyBorder="1" applyAlignment="1">
      <alignment wrapText="1"/>
    </xf>
    <xf numFmtId="0" fontId="0" fillId="10" borderId="18" xfId="0" applyFill="1" applyBorder="1" applyAlignment="1">
      <alignment vertical="center" wrapText="1"/>
    </xf>
    <xf numFmtId="0" fontId="0" fillId="10" borderId="20" xfId="0" applyFill="1" applyBorder="1" applyAlignment="1">
      <alignment vertical="center" wrapText="1"/>
    </xf>
    <xf numFmtId="0" fontId="8" fillId="11" borderId="5" xfId="0" applyFont="1" applyFill="1" applyBorder="1" applyAlignment="1">
      <alignment horizontal="center" wrapText="1"/>
    </xf>
    <xf numFmtId="0" fontId="8" fillId="11" borderId="48" xfId="0" applyFont="1" applyFill="1" applyBorder="1" applyAlignment="1">
      <alignment horizontal="center" wrapText="1"/>
    </xf>
    <xf numFmtId="0" fontId="13" fillId="11" borderId="24" xfId="0" applyFont="1" applyFill="1" applyBorder="1" applyAlignment="1">
      <alignment vertical="center" wrapText="1"/>
    </xf>
    <xf numFmtId="0" fontId="13" fillId="11" borderId="1" xfId="0" applyFont="1" applyFill="1" applyBorder="1" applyAlignment="1">
      <alignment vertical="center" wrapText="1"/>
    </xf>
    <xf numFmtId="0" fontId="13" fillId="0" borderId="23" xfId="0" applyFont="1" applyBorder="1" applyAlignment="1">
      <alignment vertical="center" wrapText="1"/>
    </xf>
    <xf numFmtId="0" fontId="13" fillId="0" borderId="33" xfId="0" applyFont="1" applyBorder="1" applyAlignment="1">
      <alignment vertical="center" wrapText="1"/>
    </xf>
    <xf numFmtId="0" fontId="0" fillId="0" borderId="22" xfId="0" applyBorder="1"/>
    <xf numFmtId="0" fontId="0" fillId="5" borderId="0" xfId="0" applyFill="1"/>
    <xf numFmtId="0" fontId="21" fillId="5" borderId="0" xfId="0" applyFont="1" applyFill="1" applyAlignment="1">
      <alignment horizontal="left" vertical="top" wrapText="1"/>
    </xf>
    <xf numFmtId="0" fontId="36" fillId="5" borderId="0" xfId="0" applyFont="1" applyFill="1"/>
    <xf numFmtId="0" fontId="0" fillId="0" borderId="1" xfId="0" applyBorder="1" applyAlignment="1">
      <alignment horizontal="center"/>
    </xf>
    <xf numFmtId="0" fontId="0" fillId="10" borderId="39" xfId="0" applyFill="1" applyBorder="1" applyAlignment="1">
      <alignment wrapText="1"/>
    </xf>
    <xf numFmtId="0" fontId="0" fillId="10" borderId="24" xfId="0" applyFill="1" applyBorder="1" applyAlignment="1">
      <alignment vertical="center" wrapText="1"/>
    </xf>
    <xf numFmtId="0" fontId="0" fillId="10" borderId="40" xfId="0" applyFill="1" applyBorder="1" applyAlignment="1">
      <alignment vertical="center" wrapText="1"/>
    </xf>
    <xf numFmtId="0" fontId="13" fillId="0" borderId="1" xfId="0" applyFont="1" applyBorder="1" applyAlignment="1">
      <alignment vertical="center" wrapText="1"/>
    </xf>
    <xf numFmtId="0" fontId="8" fillId="10" borderId="50"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7" xfId="0" applyFont="1" applyFill="1" applyBorder="1" applyAlignment="1">
      <alignment horizontal="center" vertical="center" wrapText="1"/>
    </xf>
    <xf numFmtId="0" fontId="8" fillId="12" borderId="18" xfId="0" applyFont="1" applyFill="1" applyBorder="1" applyAlignment="1">
      <alignment horizontal="center" vertical="center" wrapText="1"/>
    </xf>
    <xf numFmtId="0" fontId="13" fillId="0" borderId="17" xfId="0" applyFont="1" applyBorder="1" applyAlignment="1">
      <alignment vertical="center" wrapText="1"/>
    </xf>
    <xf numFmtId="0" fontId="0" fillId="0" borderId="18" xfId="0" applyBorder="1" applyAlignment="1">
      <alignment wrapText="1"/>
    </xf>
    <xf numFmtId="0" fontId="0" fillId="0" borderId="37" xfId="0" applyBorder="1" applyAlignment="1">
      <alignment horizontal="center" vertical="center"/>
    </xf>
    <xf numFmtId="0" fontId="0" fillId="0" borderId="27" xfId="0" applyBorder="1"/>
    <xf numFmtId="0" fontId="0" fillId="0" borderId="25" xfId="0" applyBorder="1" applyAlignment="1">
      <alignment wrapText="1"/>
    </xf>
    <xf numFmtId="0" fontId="0" fillId="10" borderId="28" xfId="0" applyFill="1" applyBorder="1" applyAlignment="1">
      <alignment wrapText="1"/>
    </xf>
    <xf numFmtId="0" fontId="0" fillId="10" borderId="38" xfId="0" applyFill="1" applyBorder="1" applyAlignment="1">
      <alignment wrapText="1"/>
    </xf>
    <xf numFmtId="0" fontId="12" fillId="5" borderId="1" xfId="0" applyFont="1" applyFill="1" applyBorder="1" applyAlignment="1">
      <alignment vertical="center"/>
    </xf>
    <xf numFmtId="0" fontId="12" fillId="5" borderId="0" xfId="0" applyFont="1" applyFill="1" applyAlignment="1">
      <alignment vertical="center"/>
    </xf>
    <xf numFmtId="0" fontId="12" fillId="5" borderId="1" xfId="0" applyFont="1" applyFill="1" applyBorder="1" applyAlignment="1">
      <alignment horizontal="left" vertical="top" wrapText="1"/>
    </xf>
    <xf numFmtId="0" fontId="12" fillId="5" borderId="0" xfId="0" applyFont="1" applyFill="1" applyAlignment="1">
      <alignment horizontal="left" vertical="top"/>
    </xf>
    <xf numFmtId="0" fontId="12" fillId="5" borderId="1" xfId="0" applyFont="1" applyFill="1" applyBorder="1" applyAlignment="1">
      <alignment horizontal="left" vertical="center" indent="2"/>
    </xf>
    <xf numFmtId="0" fontId="12" fillId="5" borderId="0" xfId="0" applyFont="1" applyFill="1" applyAlignment="1">
      <alignment horizontal="left" vertical="center" indent="2"/>
    </xf>
    <xf numFmtId="0" fontId="19" fillId="5" borderId="1" xfId="0" applyFont="1" applyFill="1" applyBorder="1" applyAlignment="1">
      <alignment horizontal="left" vertical="center" indent="2"/>
    </xf>
    <xf numFmtId="0" fontId="12" fillId="5" borderId="2" xfId="0" applyFont="1" applyFill="1" applyBorder="1" applyAlignment="1">
      <alignment vertical="center"/>
    </xf>
    <xf numFmtId="0" fontId="0" fillId="5" borderId="2" xfId="0" applyFill="1" applyBorder="1"/>
    <xf numFmtId="0" fontId="0" fillId="0" borderId="1" xfId="0" applyBorder="1" applyAlignment="1">
      <alignment horizontal="center" vertical="center" wrapText="1"/>
    </xf>
    <xf numFmtId="2" fontId="8" fillId="8" borderId="1" xfId="1" applyNumberFormat="1" applyFont="1" applyFill="1" applyBorder="1" applyAlignment="1">
      <alignment horizontal="center" vertical="center"/>
    </xf>
    <xf numFmtId="0" fontId="8" fillId="8" borderId="1" xfId="1" applyFont="1" applyFill="1" applyBorder="1" applyAlignment="1">
      <alignment horizontal="center" vertical="center"/>
    </xf>
    <xf numFmtId="0" fontId="8" fillId="8" borderId="1" xfId="1" applyFont="1" applyFill="1" applyBorder="1" applyAlignment="1">
      <alignment horizontal="center" vertical="center" wrapText="1"/>
    </xf>
    <xf numFmtId="0" fontId="38" fillId="0" borderId="1" xfId="0" applyFont="1" applyBorder="1" applyAlignment="1">
      <alignment horizontal="center"/>
    </xf>
    <xf numFmtId="0" fontId="38" fillId="0" borderId="1" xfId="0" applyFont="1" applyBorder="1" applyAlignment="1">
      <alignment horizontal="center" vertical="center"/>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0" fillId="0" borderId="1" xfId="0" applyBorder="1" applyAlignment="1">
      <alignment horizontal="left"/>
    </xf>
    <xf numFmtId="0" fontId="12" fillId="0" borderId="0" xfId="0" applyFont="1" applyAlignment="1">
      <alignment horizontal="center" vertical="center"/>
    </xf>
    <xf numFmtId="0" fontId="21" fillId="14" borderId="1" xfId="0" applyFont="1" applyFill="1" applyBorder="1" applyAlignment="1">
      <alignment horizontal="left" vertical="top"/>
    </xf>
    <xf numFmtId="0" fontId="21" fillId="14" borderId="1" xfId="0" applyFont="1" applyFill="1" applyBorder="1" applyAlignment="1">
      <alignment vertical="top"/>
    </xf>
    <xf numFmtId="0" fontId="21" fillId="14" borderId="1" xfId="0" applyFont="1" applyFill="1" applyBorder="1" applyAlignment="1">
      <alignment horizontal="left" vertical="top" wrapText="1"/>
    </xf>
    <xf numFmtId="0" fontId="10" fillId="14" borderId="1" xfId="0" applyFont="1" applyFill="1" applyBorder="1" applyAlignment="1">
      <alignment vertical="top"/>
    </xf>
    <xf numFmtId="0" fontId="19" fillId="0" borderId="1" xfId="0" applyFont="1" applyBorder="1" applyAlignment="1">
      <alignment horizontal="left" vertical="center"/>
    </xf>
    <xf numFmtId="0" fontId="0" fillId="0" borderId="1" xfId="0" applyBorder="1" applyAlignment="1">
      <alignment horizontal="left" vertical="center"/>
    </xf>
    <xf numFmtId="0" fontId="12" fillId="5" borderId="1" xfId="0" applyFont="1" applyFill="1" applyBorder="1" applyAlignment="1">
      <alignment horizontal="left" vertical="center" wrapText="1"/>
    </xf>
    <xf numFmtId="0" fontId="21" fillId="14" borderId="1" xfId="0" applyFont="1" applyFill="1" applyBorder="1" applyAlignment="1">
      <alignment vertical="top" wrapText="1"/>
    </xf>
    <xf numFmtId="0" fontId="15" fillId="5" borderId="0" xfId="0" applyFont="1" applyFill="1"/>
    <xf numFmtId="0" fontId="15" fillId="0" borderId="0" xfId="0" applyFont="1"/>
    <xf numFmtId="0" fontId="8" fillId="0" borderId="1" xfId="0" applyFont="1" applyBorder="1"/>
    <xf numFmtId="0" fontId="15" fillId="0" borderId="1" xfId="0" applyFont="1" applyBorder="1"/>
    <xf numFmtId="0" fontId="0" fillId="8" borderId="1" xfId="0" applyFill="1" applyBorder="1" applyAlignment="1">
      <alignment horizontal="center"/>
    </xf>
    <xf numFmtId="0" fontId="15" fillId="0" borderId="1" xfId="0" applyFont="1" applyBorder="1" applyAlignment="1">
      <alignment horizontal="center"/>
    </xf>
    <xf numFmtId="0" fontId="0" fillId="0" borderId="0" xfId="0" applyAlignment="1">
      <alignment vertical="center"/>
    </xf>
    <xf numFmtId="9" fontId="0" fillId="0" borderId="0" xfId="0" applyNumberFormat="1"/>
    <xf numFmtId="0" fontId="0" fillId="0" borderId="41" xfId="0" applyBorder="1" applyAlignment="1">
      <alignment horizontal="center" vertical="center" wrapText="1"/>
    </xf>
    <xf numFmtId="0" fontId="9" fillId="0" borderId="41" xfId="0" applyFont="1" applyBorder="1" applyAlignment="1">
      <alignment horizontal="center" vertical="center" wrapText="1"/>
    </xf>
    <xf numFmtId="0" fontId="8" fillId="0" borderId="14" xfId="0" applyFont="1" applyBorder="1" applyAlignment="1">
      <alignment horizontal="left" vertical="center" wrapText="1"/>
    </xf>
    <xf numFmtId="0" fontId="8" fillId="0" borderId="41" xfId="0" applyFont="1" applyBorder="1" applyAlignment="1">
      <alignment horizontal="left" vertical="center" wrapText="1"/>
    </xf>
    <xf numFmtId="0" fontId="0" fillId="5" borderId="0" xfId="0" applyFill="1" applyAlignment="1">
      <alignment wrapText="1"/>
    </xf>
    <xf numFmtId="0" fontId="0" fillId="0" borderId="23" xfId="0" applyBorder="1"/>
    <xf numFmtId="0" fontId="0" fillId="0" borderId="24" xfId="0" applyBorder="1" applyAlignment="1">
      <alignment wrapText="1"/>
    </xf>
    <xf numFmtId="0" fontId="0" fillId="0" borderId="24" xfId="0" applyBorder="1"/>
    <xf numFmtId="0" fontId="0" fillId="8" borderId="23" xfId="0" applyFill="1" applyBorder="1"/>
    <xf numFmtId="0" fontId="0" fillId="8" borderId="1" xfId="0" applyFill="1" applyBorder="1" applyAlignment="1">
      <alignment horizontal="left"/>
    </xf>
    <xf numFmtId="0" fontId="0" fillId="8" borderId="1" xfId="0" applyFill="1" applyBorder="1" applyAlignment="1">
      <alignment wrapText="1"/>
    </xf>
    <xf numFmtId="0" fontId="0" fillId="8" borderId="1" xfId="0" applyFill="1" applyBorder="1"/>
    <xf numFmtId="0" fontId="39" fillId="15" borderId="1" xfId="0" applyFont="1" applyFill="1" applyBorder="1" applyAlignment="1">
      <alignment horizontal="center" vertical="center"/>
    </xf>
    <xf numFmtId="0" fontId="40" fillId="16" borderId="24" xfId="0" applyFont="1" applyFill="1" applyBorder="1" applyAlignment="1">
      <alignment vertical="center" wrapText="1"/>
    </xf>
    <xf numFmtId="2" fontId="37" fillId="5" borderId="1" xfId="0" applyNumberFormat="1" applyFont="1" applyFill="1" applyBorder="1" applyAlignment="1">
      <alignment horizontal="center" vertical="center"/>
    </xf>
    <xf numFmtId="0" fontId="39" fillId="5" borderId="1" xfId="0" applyFont="1" applyFill="1" applyBorder="1" applyAlignment="1">
      <alignment vertical="center"/>
    </xf>
    <xf numFmtId="0" fontId="23" fillId="5" borderId="1" xfId="1" applyFont="1" applyFill="1" applyBorder="1" applyAlignment="1">
      <alignment horizontal="left" vertical="center" wrapText="1"/>
    </xf>
    <xf numFmtId="0" fontId="23" fillId="5" borderId="1" xfId="1" applyFont="1" applyFill="1" applyBorder="1" applyAlignment="1">
      <alignment horizontal="center" vertical="center" wrapText="1"/>
    </xf>
    <xf numFmtId="0" fontId="41" fillId="5" borderId="1" xfId="0" applyFont="1" applyFill="1" applyBorder="1" applyAlignment="1">
      <alignment horizontal="center" vertical="center"/>
    </xf>
    <xf numFmtId="0" fontId="0" fillId="5" borderId="0" xfId="0" applyFill="1" applyAlignment="1">
      <alignment horizontal="center"/>
    </xf>
    <xf numFmtId="4" fontId="0" fillId="5" borderId="0" xfId="0" applyNumberFormat="1" applyFill="1"/>
    <xf numFmtId="0" fontId="42" fillId="17" borderId="0" xfId="0" applyFont="1" applyFill="1"/>
    <xf numFmtId="0" fontId="42" fillId="0" borderId="0" xfId="0" applyFont="1"/>
    <xf numFmtId="0" fontId="42" fillId="0" borderId="0" xfId="0" applyFont="1" applyAlignment="1">
      <alignment horizontal="center"/>
    </xf>
    <xf numFmtId="0" fontId="42" fillId="17" borderId="0" xfId="0" applyFont="1" applyFill="1" applyAlignment="1">
      <alignment horizontal="center"/>
    </xf>
    <xf numFmtId="0" fontId="42" fillId="17" borderId="0" xfId="0" applyFont="1" applyFill="1" applyAlignment="1">
      <alignment wrapText="1"/>
    </xf>
    <xf numFmtId="0" fontId="42" fillId="0" borderId="41" xfId="0" applyFont="1" applyBorder="1" applyAlignment="1">
      <alignment horizontal="center" vertical="center" wrapText="1"/>
    </xf>
    <xf numFmtId="0" fontId="21" fillId="0" borderId="41" xfId="0" applyFont="1" applyBorder="1" applyAlignment="1">
      <alignment horizontal="center" vertical="center" wrapText="1"/>
    </xf>
    <xf numFmtId="0" fontId="43" fillId="0" borderId="14" xfId="0" applyFont="1" applyBorder="1" applyAlignment="1">
      <alignment horizontal="left" vertical="center" wrapText="1"/>
    </xf>
    <xf numFmtId="0" fontId="43" fillId="0" borderId="12" xfId="0" applyFont="1" applyBorder="1" applyAlignment="1">
      <alignment horizontal="center" vertical="center" wrapText="1"/>
    </xf>
    <xf numFmtId="0" fontId="43" fillId="0" borderId="41" xfId="0" applyFont="1" applyBorder="1" applyAlignment="1">
      <alignment horizontal="center" vertical="center" wrapText="1"/>
    </xf>
    <xf numFmtId="0" fontId="42" fillId="18" borderId="28" xfId="0" applyFont="1" applyFill="1" applyBorder="1"/>
    <xf numFmtId="0" fontId="42" fillId="18" borderId="27" xfId="0" applyFont="1" applyFill="1" applyBorder="1" applyAlignment="1">
      <alignment horizontal="center"/>
    </xf>
    <xf numFmtId="0" fontId="42" fillId="18" borderId="27" xfId="0" applyFont="1" applyFill="1" applyBorder="1" applyAlignment="1">
      <alignment horizontal="left"/>
    </xf>
    <xf numFmtId="0" fontId="42" fillId="18" borderId="27" xfId="0" applyFont="1" applyFill="1" applyBorder="1" applyAlignment="1">
      <alignment horizontal="center" wrapText="1"/>
    </xf>
    <xf numFmtId="0" fontId="42" fillId="18" borderId="24" xfId="0" applyFont="1" applyFill="1" applyBorder="1"/>
    <xf numFmtId="0" fontId="42" fillId="18" borderId="1" xfId="0" applyFont="1" applyFill="1" applyBorder="1" applyAlignment="1">
      <alignment horizontal="center"/>
    </xf>
    <xf numFmtId="0" fontId="42" fillId="18" borderId="1" xfId="0" applyFont="1" applyFill="1" applyBorder="1" applyAlignment="1">
      <alignment horizontal="left"/>
    </xf>
    <xf numFmtId="0" fontId="42" fillId="18" borderId="1" xfId="0" applyFont="1" applyFill="1" applyBorder="1" applyAlignment="1">
      <alignment horizontal="center" wrapText="1"/>
    </xf>
    <xf numFmtId="0" fontId="42" fillId="18" borderId="1" xfId="0" applyFont="1" applyFill="1" applyBorder="1" applyAlignment="1">
      <alignment wrapText="1"/>
    </xf>
    <xf numFmtId="0" fontId="42" fillId="19" borderId="24" xfId="0" applyFont="1" applyFill="1" applyBorder="1"/>
    <xf numFmtId="0" fontId="42" fillId="19" borderId="1" xfId="0" applyFont="1" applyFill="1" applyBorder="1" applyAlignment="1">
      <alignment horizontal="center"/>
    </xf>
    <xf numFmtId="0" fontId="42" fillId="19" borderId="1" xfId="0" applyFont="1" applyFill="1" applyBorder="1" applyAlignment="1">
      <alignment horizontal="left"/>
    </xf>
    <xf numFmtId="0" fontId="42" fillId="19" borderId="1" xfId="0" applyFont="1" applyFill="1" applyBorder="1" applyAlignment="1">
      <alignment horizontal="center" wrapText="1"/>
    </xf>
    <xf numFmtId="0" fontId="42" fillId="19" borderId="1" xfId="0" applyFont="1" applyFill="1" applyBorder="1" applyAlignment="1">
      <alignment wrapText="1"/>
    </xf>
    <xf numFmtId="0" fontId="42" fillId="19" borderId="1" xfId="0" applyFont="1" applyFill="1" applyBorder="1"/>
    <xf numFmtId="0" fontId="43" fillId="18" borderId="43" xfId="0" applyFont="1" applyFill="1" applyBorder="1" applyAlignment="1">
      <alignment horizontal="center" vertical="center"/>
    </xf>
    <xf numFmtId="0" fontId="42" fillId="18" borderId="24" xfId="0" applyFont="1" applyFill="1" applyBorder="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1" xfId="0" applyBorder="1" applyAlignment="1">
      <alignment horizontal="center"/>
    </xf>
    <xf numFmtId="14" fontId="0" fillId="0" borderId="21" xfId="0" applyNumberFormat="1" applyBorder="1" applyAlignment="1">
      <alignment horizontal="center"/>
    </xf>
    <xf numFmtId="0" fontId="0" fillId="0" borderId="21" xfId="0" applyBorder="1" applyAlignment="1">
      <alignment horizontal="center" wrapText="1"/>
    </xf>
    <xf numFmtId="0" fontId="0" fillId="0" borderId="20" xfId="0" applyBorder="1" applyAlignment="1">
      <alignment horizontal="center" wrapText="1"/>
    </xf>
    <xf numFmtId="0" fontId="8" fillId="4" borderId="3" xfId="0" applyFont="1" applyFill="1" applyBorder="1" applyAlignment="1">
      <alignment horizontal="center"/>
    </xf>
    <xf numFmtId="0" fontId="8" fillId="4" borderId="16" xfId="0" applyFont="1" applyFill="1" applyBorder="1" applyAlignment="1">
      <alignment horizontal="center"/>
    </xf>
    <xf numFmtId="0" fontId="8" fillId="4" borderId="15" xfId="0" applyFont="1" applyFill="1" applyBorder="1" applyAlignment="1">
      <alignment horizontal="center"/>
    </xf>
    <xf numFmtId="0" fontId="0" fillId="0" borderId="17"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wrapText="1"/>
    </xf>
    <xf numFmtId="0" fontId="0" fillId="0" borderId="18" xfId="0" applyBorder="1" applyAlignment="1">
      <alignment horizontal="center" wrapText="1"/>
    </xf>
    <xf numFmtId="0" fontId="0" fillId="0" borderId="1"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center" wrapText="1"/>
    </xf>
    <xf numFmtId="0" fontId="0" fillId="0" borderId="18" xfId="0" applyBorder="1" applyAlignment="1">
      <alignment horizontal="left" vertical="center" wrapText="1"/>
    </xf>
    <xf numFmtId="0" fontId="8" fillId="3" borderId="4"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0" xfId="0" applyFont="1" applyFill="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0" fillId="0" borderId="1" xfId="0" applyBorder="1" applyAlignment="1">
      <alignment horizontal="left"/>
    </xf>
    <xf numFmtId="0" fontId="17" fillId="14" borderId="1" xfId="0" applyFont="1" applyFill="1" applyBorder="1" applyAlignment="1">
      <alignment horizontal="left" vertical="center" wrapText="1"/>
    </xf>
    <xf numFmtId="0" fontId="27" fillId="6" borderId="1" xfId="0" applyFont="1" applyFill="1" applyBorder="1" applyAlignment="1">
      <alignment horizontal="left" vertical="top" wrapText="1"/>
    </xf>
    <xf numFmtId="0" fontId="27" fillId="6" borderId="1" xfId="0" applyFont="1" applyFill="1" applyBorder="1" applyAlignment="1">
      <alignment horizontal="left" vertical="top"/>
    </xf>
    <xf numFmtId="0" fontId="17" fillId="0" borderId="1" xfId="0" applyFont="1" applyBorder="1" applyAlignment="1">
      <alignment horizontal="left" vertical="center" wrapText="1"/>
    </xf>
    <xf numFmtId="0" fontId="0" fillId="0" borderId="23" xfId="0" applyBorder="1" applyAlignment="1">
      <alignment horizontal="center"/>
    </xf>
    <xf numFmtId="0" fontId="0" fillId="0" borderId="29" xfId="0" applyBorder="1" applyAlignment="1">
      <alignment horizontal="center"/>
    </xf>
    <xf numFmtId="0" fontId="0" fillId="0" borderId="24" xfId="0" applyBorder="1" applyAlignment="1">
      <alignment horizontal="center"/>
    </xf>
    <xf numFmtId="0" fontId="24" fillId="4" borderId="34" xfId="0" applyFont="1" applyFill="1" applyBorder="1" applyAlignment="1">
      <alignment horizontal="center"/>
    </xf>
    <xf numFmtId="0" fontId="24" fillId="4" borderId="35" xfId="0" applyFont="1" applyFill="1" applyBorder="1" applyAlignment="1">
      <alignment horizontal="center"/>
    </xf>
    <xf numFmtId="0" fontId="24" fillId="4" borderId="36" xfId="0" applyFont="1" applyFill="1" applyBorder="1" applyAlignment="1">
      <alignment horizontal="center"/>
    </xf>
    <xf numFmtId="0" fontId="0" fillId="0" borderId="0" xfId="0" applyAlignment="1">
      <alignment horizontal="center"/>
    </xf>
    <xf numFmtId="0" fontId="15" fillId="0" borderId="1" xfId="0" applyFont="1" applyBorder="1" applyAlignment="1">
      <alignment horizontal="left"/>
    </xf>
    <xf numFmtId="0" fontId="25" fillId="0" borderId="23" xfId="0" applyFont="1" applyBorder="1" applyAlignment="1">
      <alignment horizontal="center" vertical="center" wrapText="1"/>
    </xf>
    <xf numFmtId="0" fontId="25" fillId="0" borderId="29" xfId="0" applyFont="1" applyBorder="1" applyAlignment="1">
      <alignment horizontal="center" vertical="center" wrapText="1"/>
    </xf>
    <xf numFmtId="0" fontId="25" fillId="0" borderId="1" xfId="0" applyFont="1" applyBorder="1" applyAlignment="1">
      <alignment horizontal="center" vertical="center" wrapText="1"/>
    </xf>
    <xf numFmtId="0" fontId="0" fillId="0" borderId="1" xfId="0" applyBorder="1" applyAlignment="1">
      <alignment horizontal="center" vertical="center" wrapText="1"/>
    </xf>
    <xf numFmtId="0" fontId="15" fillId="5" borderId="1" xfId="0" applyFont="1" applyFill="1" applyBorder="1" applyAlignment="1">
      <alignment horizontal="left" vertical="center"/>
    </xf>
    <xf numFmtId="0" fontId="0" fillId="0" borderId="1" xfId="0" applyBorder="1" applyAlignment="1">
      <alignment horizontal="center" vertical="center"/>
    </xf>
    <xf numFmtId="0" fontId="25" fillId="12" borderId="44" xfId="0" applyFont="1" applyFill="1" applyBorder="1" applyAlignment="1">
      <alignment horizontal="center" wrapText="1"/>
    </xf>
    <xf numFmtId="0" fontId="25" fillId="12" borderId="46" xfId="0" applyFont="1" applyFill="1" applyBorder="1" applyAlignment="1">
      <alignment horizontal="center" wrapText="1"/>
    </xf>
    <xf numFmtId="0" fontId="8" fillId="11" borderId="14" xfId="0" applyFont="1" applyFill="1" applyBorder="1" applyAlignment="1">
      <alignment horizontal="center" wrapText="1"/>
    </xf>
    <xf numFmtId="0" fontId="8" fillId="11" borderId="13" xfId="0" applyFont="1" applyFill="1" applyBorder="1" applyAlignment="1">
      <alignment horizontal="center" wrapText="1"/>
    </xf>
    <xf numFmtId="0" fontId="8" fillId="13" borderId="12" xfId="0" applyFont="1" applyFill="1" applyBorder="1" applyAlignment="1">
      <alignment horizontal="center" vertical="center"/>
    </xf>
    <xf numFmtId="0" fontId="8" fillId="13" borderId="14" xfId="0" applyFont="1" applyFill="1" applyBorder="1" applyAlignment="1">
      <alignment horizontal="center" vertical="center"/>
    </xf>
    <xf numFmtId="0" fontId="8" fillId="10" borderId="39" xfId="0" applyFont="1" applyFill="1" applyBorder="1" applyAlignment="1">
      <alignment horizontal="center" vertical="center" wrapText="1"/>
    </xf>
    <xf numFmtId="0" fontId="8" fillId="10" borderId="16" xfId="0" applyFont="1" applyFill="1" applyBorder="1" applyAlignment="1">
      <alignment horizontal="center" vertical="center" wrapText="1"/>
    </xf>
    <xf numFmtId="0" fontId="8" fillId="7" borderId="1" xfId="0" applyFont="1" applyFill="1" applyBorder="1" applyAlignment="1">
      <alignment horizontal="left" vertical="center"/>
    </xf>
    <xf numFmtId="0" fontId="8" fillId="7" borderId="25" xfId="0" applyFont="1" applyFill="1" applyBorder="1" applyAlignment="1">
      <alignment horizontal="left" vertical="center"/>
    </xf>
    <xf numFmtId="0" fontId="8" fillId="7" borderId="26" xfId="0" applyFont="1" applyFill="1" applyBorder="1" applyAlignment="1">
      <alignment horizontal="left" vertical="center"/>
    </xf>
    <xf numFmtId="0" fontId="8" fillId="7" borderId="28" xfId="0" applyFont="1" applyFill="1" applyBorder="1" applyAlignment="1">
      <alignment horizontal="left" vertical="center"/>
    </xf>
    <xf numFmtId="0" fontId="43" fillId="19" borderId="42" xfId="0" applyFont="1" applyFill="1" applyBorder="1" applyAlignment="1">
      <alignment horizontal="center" vertical="center" textRotation="90" wrapText="1"/>
    </xf>
    <xf numFmtId="0" fontId="43" fillId="18" borderId="49" xfId="0" applyFont="1" applyFill="1" applyBorder="1" applyAlignment="1">
      <alignment horizontal="center" vertical="center" textRotation="90" wrapText="1"/>
    </xf>
    <xf numFmtId="0" fontId="43" fillId="18" borderId="42" xfId="0" applyFont="1" applyFill="1" applyBorder="1" applyAlignment="1">
      <alignment horizontal="center" vertical="center" textRotation="90" wrapText="1"/>
    </xf>
    <xf numFmtId="0" fontId="0" fillId="8" borderId="1" xfId="0" applyFill="1" applyBorder="1" applyAlignment="1">
      <alignment horizontal="center"/>
    </xf>
    <xf numFmtId="0" fontId="0" fillId="0" borderId="26" xfId="0" applyBorder="1" applyAlignment="1">
      <alignment horizontal="center"/>
    </xf>
  </cellXfs>
  <cellStyles count="17">
    <cellStyle name="Comma 2" xfId="5" xr:uid="{D5B71E98-2ED8-41E9-AC5C-DD66686BC3A0}"/>
    <cellStyle name="Normal" xfId="0" builtinId="0"/>
    <cellStyle name="Normal 2" xfId="1" xr:uid="{3BE8ACE3-F4AE-4416-A467-B5AE3ABD1B63}"/>
    <cellStyle name="Normal 3" xfId="2" xr:uid="{ABC66EC5-F1D9-4AFB-8F7E-88E69553EA02}"/>
    <cellStyle name="Normal 4" xfId="6" xr:uid="{0774CE33-E11D-416B-9050-189EDA3E663C}"/>
    <cellStyle name="Normal 4 2 2" xfId="14" xr:uid="{B190E47C-2CE8-407A-8F7F-9BE26692854B}"/>
    <cellStyle name="Normal 4 2 2 2" xfId="15" xr:uid="{4CE403F2-E3F7-44E5-98F0-8EB89B9483AA}"/>
    <cellStyle name="Normal 4 2 2 2 4" xfId="16" xr:uid="{B41FDA0F-A772-4AA0-A048-8B13D228EB09}"/>
    <cellStyle name="Normal 5" xfId="8" xr:uid="{7EBFA773-4738-4DE4-A17E-8F5301B4A29E}"/>
    <cellStyle name="Normal 5 2" xfId="10" xr:uid="{3F35CB68-3E26-4A52-86FD-A8F65A90749B}"/>
    <cellStyle name="Normal 5 2 2" xfId="12" xr:uid="{14166BB7-5194-4C5C-B289-70FE6DA62E3E}"/>
    <cellStyle name="Percent 2" xfId="3" xr:uid="{8F8E80A3-903F-4A07-BA1A-CC812E69D63F}"/>
    <cellStyle name="Percent 3" xfId="4" xr:uid="{1B51622B-B577-4BB9-B574-94588AE11B59}"/>
    <cellStyle name="Percent 4" xfId="7" xr:uid="{36FE9A6C-B025-415D-A5CD-5C84090295F4}"/>
    <cellStyle name="Percent 5" xfId="9" xr:uid="{6B2521FB-92B5-4C35-9A81-EB320DC1EF29}"/>
    <cellStyle name="Percent 6" xfId="11" xr:uid="{EDDFA873-D061-4449-9279-1C32D2744F7C}"/>
    <cellStyle name="Percent 6 2" xfId="13" xr:uid="{8B8E3BD9-9A63-47D8-B4FD-95080280D22E}"/>
  </cellStyles>
  <dxfs count="17">
    <dxf>
      <numFmt numFmtId="0" formatCode="General"/>
      <alignment horizontal="center" textRotation="0" indent="0" justifyLastLine="0" shrinkToFit="0" readingOrder="0"/>
      <border diagonalUp="0" diagonalDown="0" outline="0">
        <left style="thin">
          <color rgb="FF000000"/>
        </left>
        <right style="thin">
          <color rgb="FF000000"/>
        </right>
        <top style="thin">
          <color rgb="FF000000"/>
        </top>
        <bottom style="thin">
          <color rgb="FF000000"/>
        </bottom>
      </border>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medium">
          <color rgb="FF000000"/>
        </top>
        <bottom style="thin">
          <color rgb="FF000000"/>
        </bottom>
      </border>
    </dxf>
    <dxf>
      <border>
        <bottom style="medium">
          <color rgb="FF000000"/>
        </bottom>
      </border>
    </dxf>
    <dxf>
      <border>
        <left style="thin">
          <color rgb="FF5B9BD5"/>
        </left>
      </border>
    </dxf>
    <dxf>
      <border>
        <left style="thin">
          <color rgb="FF5B9BD5"/>
        </left>
      </border>
    </dxf>
    <dxf>
      <border>
        <top style="thin">
          <color rgb="FF5B9BD5"/>
        </top>
      </border>
    </dxf>
    <dxf>
      <border>
        <top style="thin">
          <color rgb="FF5B9BD5"/>
        </top>
      </border>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5B9BD5"/>
        </left>
        <right style="thin">
          <color rgb="FF5B9BD5"/>
        </right>
        <top style="thin">
          <color rgb="FF5B9BD5"/>
        </top>
        <bottom style="thin">
          <color rgb="FF5B9BD5"/>
        </bottom>
      </border>
    </dxf>
  </dxfs>
  <tableStyles count="1" defaultTableStyle="TableStyleMedium2" defaultPivotStyle="PivotStyleLight16">
    <tableStyle name="TableStyleLight9 2" pivot="0" count="9" xr9:uid="{EE6D0015-4705-4DFB-97F3-69208B82F350}">
      <tableStyleElement type="wholeTable" dxfId="16"/>
      <tableStyleElement type="headerRow" dxfId="15"/>
      <tableStyleElement type="totalRow" dxfId="14"/>
      <tableStyleElement type="firstColumn" dxfId="13"/>
      <tableStyleElement type="lastColumn" dxfId="12"/>
      <tableStyleElement type="firstRowStripe" dxfId="11"/>
      <tableStyleElement type="secondRowStripe" dxfId="10"/>
      <tableStyleElement type="firstColumnStripe" dxfId="9"/>
      <tableStyleElement type="secondColumnStripe" dxfId="8"/>
    </tableStyle>
  </tableStyles>
  <colors>
    <mruColors>
      <color rgb="FF00FFFF"/>
      <color rgb="FF006D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absolute">
    <xdr:from>
      <xdr:col>4</xdr:col>
      <xdr:colOff>128315</xdr:colOff>
      <xdr:row>14</xdr:row>
      <xdr:rowOff>35291</xdr:rowOff>
    </xdr:from>
    <xdr:to>
      <xdr:col>6</xdr:col>
      <xdr:colOff>29116</xdr:colOff>
      <xdr:row>16</xdr:row>
      <xdr:rowOff>59311</xdr:rowOff>
    </xdr:to>
    <xdr:pic>
      <xdr:nvPicPr>
        <xdr:cNvPr id="2" name="Grafik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5991" y="2836762"/>
          <a:ext cx="281801" cy="360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182880</xdr:colOff>
          <xdr:row>2</xdr:row>
          <xdr:rowOff>175260</xdr:rowOff>
        </xdr:from>
        <xdr:to>
          <xdr:col>2</xdr:col>
          <xdr:colOff>525780</xdr:colOff>
          <xdr:row>4</xdr:row>
          <xdr:rowOff>7620</xdr:rowOff>
        </xdr:to>
        <xdr:sp macro="" textlink="">
          <xdr:nvSpPr>
            <xdr:cNvPr id="24577" name="Check Box 1" hidden="1">
              <a:extLst>
                <a:ext uri="{63B3BB69-23CF-44E3-9099-C40C66FF867C}">
                  <a14:compatExt spid="_x0000_s24577"/>
                </a:ext>
                <a:ext uri="{FF2B5EF4-FFF2-40B4-BE49-F238E27FC236}">
                  <a16:creationId xmlns:a16="http://schemas.microsoft.com/office/drawing/2014/main" id="{00000000-0008-0000-0600-00000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3</xdr:row>
          <xdr:rowOff>175260</xdr:rowOff>
        </xdr:from>
        <xdr:to>
          <xdr:col>2</xdr:col>
          <xdr:colOff>525780</xdr:colOff>
          <xdr:row>5</xdr:row>
          <xdr:rowOff>7620</xdr:rowOff>
        </xdr:to>
        <xdr:sp macro="" textlink="">
          <xdr:nvSpPr>
            <xdr:cNvPr id="24578" name="Check Box 2" hidden="1">
              <a:extLst>
                <a:ext uri="{63B3BB69-23CF-44E3-9099-C40C66FF867C}">
                  <a14:compatExt spid="_x0000_s24578"/>
                </a:ext>
                <a:ext uri="{FF2B5EF4-FFF2-40B4-BE49-F238E27FC236}">
                  <a16:creationId xmlns:a16="http://schemas.microsoft.com/office/drawing/2014/main" id="{00000000-0008-0000-0600-00000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4</xdr:row>
          <xdr:rowOff>175260</xdr:rowOff>
        </xdr:from>
        <xdr:to>
          <xdr:col>2</xdr:col>
          <xdr:colOff>525780</xdr:colOff>
          <xdr:row>6</xdr:row>
          <xdr:rowOff>7620</xdr:rowOff>
        </xdr:to>
        <xdr:sp macro="" textlink="">
          <xdr:nvSpPr>
            <xdr:cNvPr id="24579" name="Check Box 3" hidden="1">
              <a:extLst>
                <a:ext uri="{63B3BB69-23CF-44E3-9099-C40C66FF867C}">
                  <a14:compatExt spid="_x0000_s24579"/>
                </a:ext>
                <a:ext uri="{FF2B5EF4-FFF2-40B4-BE49-F238E27FC236}">
                  <a16:creationId xmlns:a16="http://schemas.microsoft.com/office/drawing/2014/main" id="{00000000-0008-0000-0600-00000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8</xdr:row>
          <xdr:rowOff>175260</xdr:rowOff>
        </xdr:from>
        <xdr:to>
          <xdr:col>2</xdr:col>
          <xdr:colOff>525780</xdr:colOff>
          <xdr:row>10</xdr:row>
          <xdr:rowOff>7620</xdr:rowOff>
        </xdr:to>
        <xdr:sp macro="" textlink="">
          <xdr:nvSpPr>
            <xdr:cNvPr id="24580" name="Check Box 4" hidden="1">
              <a:extLst>
                <a:ext uri="{63B3BB69-23CF-44E3-9099-C40C66FF867C}">
                  <a14:compatExt spid="_x0000_s24580"/>
                </a:ext>
                <a:ext uri="{FF2B5EF4-FFF2-40B4-BE49-F238E27FC236}">
                  <a16:creationId xmlns:a16="http://schemas.microsoft.com/office/drawing/2014/main" id="{00000000-0008-0000-0600-00000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7</xdr:row>
          <xdr:rowOff>175260</xdr:rowOff>
        </xdr:from>
        <xdr:to>
          <xdr:col>2</xdr:col>
          <xdr:colOff>525780</xdr:colOff>
          <xdr:row>9</xdr:row>
          <xdr:rowOff>7620</xdr:rowOff>
        </xdr:to>
        <xdr:sp macro="" textlink="">
          <xdr:nvSpPr>
            <xdr:cNvPr id="24581" name="Check Box 5" hidden="1">
              <a:extLst>
                <a:ext uri="{63B3BB69-23CF-44E3-9099-C40C66FF867C}">
                  <a14:compatExt spid="_x0000_s24581"/>
                </a:ext>
                <a:ext uri="{FF2B5EF4-FFF2-40B4-BE49-F238E27FC236}">
                  <a16:creationId xmlns:a16="http://schemas.microsoft.com/office/drawing/2014/main" id="{00000000-0008-0000-0600-00000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11</xdr:row>
          <xdr:rowOff>175260</xdr:rowOff>
        </xdr:from>
        <xdr:to>
          <xdr:col>2</xdr:col>
          <xdr:colOff>525780</xdr:colOff>
          <xdr:row>13</xdr:row>
          <xdr:rowOff>7620</xdr:rowOff>
        </xdr:to>
        <xdr:sp macro="" textlink="">
          <xdr:nvSpPr>
            <xdr:cNvPr id="24583" name="Check Box 7" hidden="1">
              <a:extLst>
                <a:ext uri="{63B3BB69-23CF-44E3-9099-C40C66FF867C}">
                  <a14:compatExt spid="_x0000_s24583"/>
                </a:ext>
                <a:ext uri="{FF2B5EF4-FFF2-40B4-BE49-F238E27FC236}">
                  <a16:creationId xmlns:a16="http://schemas.microsoft.com/office/drawing/2014/main" id="{00000000-0008-0000-0600-00000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12</xdr:row>
          <xdr:rowOff>175260</xdr:rowOff>
        </xdr:from>
        <xdr:to>
          <xdr:col>2</xdr:col>
          <xdr:colOff>525780</xdr:colOff>
          <xdr:row>14</xdr:row>
          <xdr:rowOff>7620</xdr:rowOff>
        </xdr:to>
        <xdr:sp macro="" textlink="">
          <xdr:nvSpPr>
            <xdr:cNvPr id="24584" name="Check Box 8" hidden="1">
              <a:extLst>
                <a:ext uri="{63B3BB69-23CF-44E3-9099-C40C66FF867C}">
                  <a14:compatExt spid="_x0000_s24584"/>
                </a:ext>
                <a:ext uri="{FF2B5EF4-FFF2-40B4-BE49-F238E27FC236}">
                  <a16:creationId xmlns:a16="http://schemas.microsoft.com/office/drawing/2014/main" id="{00000000-0008-0000-0600-00000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23</xdr:row>
          <xdr:rowOff>175260</xdr:rowOff>
        </xdr:from>
        <xdr:to>
          <xdr:col>2</xdr:col>
          <xdr:colOff>525780</xdr:colOff>
          <xdr:row>25</xdr:row>
          <xdr:rowOff>7620</xdr:rowOff>
        </xdr:to>
        <xdr:sp macro="" textlink="">
          <xdr:nvSpPr>
            <xdr:cNvPr id="24585" name="Check Box 9" hidden="1">
              <a:extLst>
                <a:ext uri="{63B3BB69-23CF-44E3-9099-C40C66FF867C}">
                  <a14:compatExt spid="_x0000_s24585"/>
                </a:ext>
                <a:ext uri="{FF2B5EF4-FFF2-40B4-BE49-F238E27FC236}">
                  <a16:creationId xmlns:a16="http://schemas.microsoft.com/office/drawing/2014/main" id="{00000000-0008-0000-0600-00000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22</xdr:row>
          <xdr:rowOff>175260</xdr:rowOff>
        </xdr:from>
        <xdr:to>
          <xdr:col>2</xdr:col>
          <xdr:colOff>525780</xdr:colOff>
          <xdr:row>24</xdr:row>
          <xdr:rowOff>7620</xdr:rowOff>
        </xdr:to>
        <xdr:sp macro="" textlink="">
          <xdr:nvSpPr>
            <xdr:cNvPr id="24586" name="Check Box 10" hidden="1">
              <a:extLst>
                <a:ext uri="{63B3BB69-23CF-44E3-9099-C40C66FF867C}">
                  <a14:compatExt spid="_x0000_s24586"/>
                </a:ext>
                <a:ext uri="{FF2B5EF4-FFF2-40B4-BE49-F238E27FC236}">
                  <a16:creationId xmlns:a16="http://schemas.microsoft.com/office/drawing/2014/main" id="{00000000-0008-0000-0600-00000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21</xdr:row>
          <xdr:rowOff>175260</xdr:rowOff>
        </xdr:from>
        <xdr:to>
          <xdr:col>2</xdr:col>
          <xdr:colOff>525780</xdr:colOff>
          <xdr:row>23</xdr:row>
          <xdr:rowOff>7620</xdr:rowOff>
        </xdr:to>
        <xdr:sp macro="" textlink="">
          <xdr:nvSpPr>
            <xdr:cNvPr id="24587" name="Check Box 11" hidden="1">
              <a:extLst>
                <a:ext uri="{63B3BB69-23CF-44E3-9099-C40C66FF867C}">
                  <a14:compatExt spid="_x0000_s24587"/>
                </a:ext>
                <a:ext uri="{FF2B5EF4-FFF2-40B4-BE49-F238E27FC236}">
                  <a16:creationId xmlns:a16="http://schemas.microsoft.com/office/drawing/2014/main" id="{00000000-0008-0000-0600-00000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20</xdr:row>
          <xdr:rowOff>175260</xdr:rowOff>
        </xdr:from>
        <xdr:to>
          <xdr:col>2</xdr:col>
          <xdr:colOff>525780</xdr:colOff>
          <xdr:row>22</xdr:row>
          <xdr:rowOff>7620</xdr:rowOff>
        </xdr:to>
        <xdr:sp macro="" textlink="">
          <xdr:nvSpPr>
            <xdr:cNvPr id="24588" name="Check Box 12" hidden="1">
              <a:extLst>
                <a:ext uri="{63B3BB69-23CF-44E3-9099-C40C66FF867C}">
                  <a14:compatExt spid="_x0000_s24588"/>
                </a:ext>
                <a:ext uri="{FF2B5EF4-FFF2-40B4-BE49-F238E27FC236}">
                  <a16:creationId xmlns:a16="http://schemas.microsoft.com/office/drawing/2014/main" id="{00000000-0008-0000-0600-00000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19</xdr:row>
          <xdr:rowOff>175260</xdr:rowOff>
        </xdr:from>
        <xdr:to>
          <xdr:col>2</xdr:col>
          <xdr:colOff>525780</xdr:colOff>
          <xdr:row>21</xdr:row>
          <xdr:rowOff>7620</xdr:rowOff>
        </xdr:to>
        <xdr:sp macro="" textlink="">
          <xdr:nvSpPr>
            <xdr:cNvPr id="24589" name="Check Box 13" hidden="1">
              <a:extLst>
                <a:ext uri="{63B3BB69-23CF-44E3-9099-C40C66FF867C}">
                  <a14:compatExt spid="_x0000_s24589"/>
                </a:ext>
                <a:ext uri="{FF2B5EF4-FFF2-40B4-BE49-F238E27FC236}">
                  <a16:creationId xmlns:a16="http://schemas.microsoft.com/office/drawing/2014/main" id="{00000000-0008-0000-0600-00000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2065020</xdr:colOff>
          <xdr:row>20</xdr:row>
          <xdr:rowOff>160020</xdr:rowOff>
        </xdr:from>
        <xdr:to>
          <xdr:col>2</xdr:col>
          <xdr:colOff>2407920</xdr:colOff>
          <xdr:row>22</xdr:row>
          <xdr:rowOff>0</xdr:rowOff>
        </xdr:to>
        <xdr:sp macro="" textlink="">
          <xdr:nvSpPr>
            <xdr:cNvPr id="24590" name="Check Box 14" hidden="1">
              <a:extLst>
                <a:ext uri="{63B3BB69-23CF-44E3-9099-C40C66FF867C}">
                  <a14:compatExt spid="_x0000_s24590"/>
                </a:ext>
                <a:ext uri="{FF2B5EF4-FFF2-40B4-BE49-F238E27FC236}">
                  <a16:creationId xmlns:a16="http://schemas.microsoft.com/office/drawing/2014/main" id="{00000000-0008-0000-0600-00000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37</xdr:row>
          <xdr:rowOff>175260</xdr:rowOff>
        </xdr:from>
        <xdr:to>
          <xdr:col>2</xdr:col>
          <xdr:colOff>525780</xdr:colOff>
          <xdr:row>39</xdr:row>
          <xdr:rowOff>7620</xdr:rowOff>
        </xdr:to>
        <xdr:sp macro="" textlink="">
          <xdr:nvSpPr>
            <xdr:cNvPr id="24591" name="Check Box 15" hidden="1">
              <a:extLst>
                <a:ext uri="{63B3BB69-23CF-44E3-9099-C40C66FF867C}">
                  <a14:compatExt spid="_x0000_s24591"/>
                </a:ext>
                <a:ext uri="{FF2B5EF4-FFF2-40B4-BE49-F238E27FC236}">
                  <a16:creationId xmlns:a16="http://schemas.microsoft.com/office/drawing/2014/main" id="{00000000-0008-0000-0600-00000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38</xdr:row>
          <xdr:rowOff>175260</xdr:rowOff>
        </xdr:from>
        <xdr:to>
          <xdr:col>2</xdr:col>
          <xdr:colOff>525780</xdr:colOff>
          <xdr:row>40</xdr:row>
          <xdr:rowOff>7620</xdr:rowOff>
        </xdr:to>
        <xdr:sp macro="" textlink="">
          <xdr:nvSpPr>
            <xdr:cNvPr id="24592" name="Check Box 16" hidden="1">
              <a:extLst>
                <a:ext uri="{63B3BB69-23CF-44E3-9099-C40C66FF867C}">
                  <a14:compatExt spid="_x0000_s24592"/>
                </a:ext>
                <a:ext uri="{FF2B5EF4-FFF2-40B4-BE49-F238E27FC236}">
                  <a16:creationId xmlns:a16="http://schemas.microsoft.com/office/drawing/2014/main" id="{00000000-0008-0000-0600-00001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43</xdr:row>
          <xdr:rowOff>175260</xdr:rowOff>
        </xdr:from>
        <xdr:to>
          <xdr:col>2</xdr:col>
          <xdr:colOff>525780</xdr:colOff>
          <xdr:row>45</xdr:row>
          <xdr:rowOff>7620</xdr:rowOff>
        </xdr:to>
        <xdr:sp macro="" textlink="">
          <xdr:nvSpPr>
            <xdr:cNvPr id="24593" name="Check Box 17" hidden="1">
              <a:extLst>
                <a:ext uri="{63B3BB69-23CF-44E3-9099-C40C66FF867C}">
                  <a14:compatExt spid="_x0000_s24593"/>
                </a:ext>
                <a:ext uri="{FF2B5EF4-FFF2-40B4-BE49-F238E27FC236}">
                  <a16:creationId xmlns:a16="http://schemas.microsoft.com/office/drawing/2014/main" id="{00000000-0008-0000-0600-00001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43</xdr:row>
          <xdr:rowOff>22860</xdr:rowOff>
        </xdr:from>
        <xdr:to>
          <xdr:col>2</xdr:col>
          <xdr:colOff>533400</xdr:colOff>
          <xdr:row>43</xdr:row>
          <xdr:rowOff>160020</xdr:rowOff>
        </xdr:to>
        <xdr:sp macro="" textlink="">
          <xdr:nvSpPr>
            <xdr:cNvPr id="24594" name="Check Box 18" hidden="1">
              <a:extLst>
                <a:ext uri="{63B3BB69-23CF-44E3-9099-C40C66FF867C}">
                  <a14:compatExt spid="_x0000_s24594"/>
                </a:ext>
                <a:ext uri="{FF2B5EF4-FFF2-40B4-BE49-F238E27FC236}">
                  <a16:creationId xmlns:a16="http://schemas.microsoft.com/office/drawing/2014/main" id="{00000000-0008-0000-0600-00001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49</xdr:row>
          <xdr:rowOff>175260</xdr:rowOff>
        </xdr:from>
        <xdr:to>
          <xdr:col>2</xdr:col>
          <xdr:colOff>525780</xdr:colOff>
          <xdr:row>51</xdr:row>
          <xdr:rowOff>7620</xdr:rowOff>
        </xdr:to>
        <xdr:sp macro="" textlink="">
          <xdr:nvSpPr>
            <xdr:cNvPr id="24595" name="Check Box 19" hidden="1">
              <a:extLst>
                <a:ext uri="{63B3BB69-23CF-44E3-9099-C40C66FF867C}">
                  <a14:compatExt spid="_x0000_s24595"/>
                </a:ext>
                <a:ext uri="{FF2B5EF4-FFF2-40B4-BE49-F238E27FC236}">
                  <a16:creationId xmlns:a16="http://schemas.microsoft.com/office/drawing/2014/main" id="{00000000-0008-0000-0600-00001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48</xdr:row>
          <xdr:rowOff>175260</xdr:rowOff>
        </xdr:from>
        <xdr:to>
          <xdr:col>2</xdr:col>
          <xdr:colOff>525780</xdr:colOff>
          <xdr:row>50</xdr:row>
          <xdr:rowOff>7620</xdr:rowOff>
        </xdr:to>
        <xdr:sp macro="" textlink="">
          <xdr:nvSpPr>
            <xdr:cNvPr id="24596" name="Check Box 20" hidden="1">
              <a:extLst>
                <a:ext uri="{63B3BB69-23CF-44E3-9099-C40C66FF867C}">
                  <a14:compatExt spid="_x0000_s24596"/>
                </a:ext>
                <a:ext uri="{FF2B5EF4-FFF2-40B4-BE49-F238E27FC236}">
                  <a16:creationId xmlns:a16="http://schemas.microsoft.com/office/drawing/2014/main" id="{00000000-0008-0000-0600-00001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92</xdr:row>
          <xdr:rowOff>175260</xdr:rowOff>
        </xdr:from>
        <xdr:to>
          <xdr:col>2</xdr:col>
          <xdr:colOff>525780</xdr:colOff>
          <xdr:row>94</xdr:row>
          <xdr:rowOff>7620</xdr:rowOff>
        </xdr:to>
        <xdr:sp macro="" textlink="">
          <xdr:nvSpPr>
            <xdr:cNvPr id="24597" name="Check Box 21" hidden="1">
              <a:extLst>
                <a:ext uri="{63B3BB69-23CF-44E3-9099-C40C66FF867C}">
                  <a14:compatExt spid="_x0000_s24597"/>
                </a:ext>
                <a:ext uri="{FF2B5EF4-FFF2-40B4-BE49-F238E27FC236}">
                  <a16:creationId xmlns:a16="http://schemas.microsoft.com/office/drawing/2014/main" id="{00000000-0008-0000-0600-00001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91</xdr:row>
          <xdr:rowOff>175260</xdr:rowOff>
        </xdr:from>
        <xdr:to>
          <xdr:col>2</xdr:col>
          <xdr:colOff>525780</xdr:colOff>
          <xdr:row>93</xdr:row>
          <xdr:rowOff>7620</xdr:rowOff>
        </xdr:to>
        <xdr:sp macro="" textlink="">
          <xdr:nvSpPr>
            <xdr:cNvPr id="24598" name="Check Box 22" hidden="1">
              <a:extLst>
                <a:ext uri="{63B3BB69-23CF-44E3-9099-C40C66FF867C}">
                  <a14:compatExt spid="_x0000_s24598"/>
                </a:ext>
                <a:ext uri="{FF2B5EF4-FFF2-40B4-BE49-F238E27FC236}">
                  <a16:creationId xmlns:a16="http://schemas.microsoft.com/office/drawing/2014/main" id="{00000000-0008-0000-0600-00001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97</xdr:row>
          <xdr:rowOff>365760</xdr:rowOff>
        </xdr:from>
        <xdr:to>
          <xdr:col>2</xdr:col>
          <xdr:colOff>525780</xdr:colOff>
          <xdr:row>99</xdr:row>
          <xdr:rowOff>0</xdr:rowOff>
        </xdr:to>
        <xdr:sp macro="" textlink="">
          <xdr:nvSpPr>
            <xdr:cNvPr id="24599" name="Check Box 23" hidden="1">
              <a:extLst>
                <a:ext uri="{63B3BB69-23CF-44E3-9099-C40C66FF867C}">
                  <a14:compatExt spid="_x0000_s24599"/>
                </a:ext>
                <a:ext uri="{FF2B5EF4-FFF2-40B4-BE49-F238E27FC236}">
                  <a16:creationId xmlns:a16="http://schemas.microsoft.com/office/drawing/2014/main" id="{00000000-0008-0000-0600-00001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95</xdr:row>
          <xdr:rowOff>175260</xdr:rowOff>
        </xdr:from>
        <xdr:to>
          <xdr:col>2</xdr:col>
          <xdr:colOff>525780</xdr:colOff>
          <xdr:row>97</xdr:row>
          <xdr:rowOff>7620</xdr:rowOff>
        </xdr:to>
        <xdr:sp macro="" textlink="">
          <xdr:nvSpPr>
            <xdr:cNvPr id="24601" name="Check Box 25" hidden="1">
              <a:extLst>
                <a:ext uri="{63B3BB69-23CF-44E3-9099-C40C66FF867C}">
                  <a14:compatExt spid="_x0000_s24601"/>
                </a:ext>
                <a:ext uri="{FF2B5EF4-FFF2-40B4-BE49-F238E27FC236}">
                  <a16:creationId xmlns:a16="http://schemas.microsoft.com/office/drawing/2014/main" id="{00000000-0008-0000-0600-00001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111</xdr:row>
          <xdr:rowOff>45720</xdr:rowOff>
        </xdr:from>
        <xdr:to>
          <xdr:col>2</xdr:col>
          <xdr:colOff>525780</xdr:colOff>
          <xdr:row>112</xdr:row>
          <xdr:rowOff>0</xdr:rowOff>
        </xdr:to>
        <xdr:sp macro="" textlink="">
          <xdr:nvSpPr>
            <xdr:cNvPr id="24602" name="Check Box 26" hidden="1">
              <a:extLst>
                <a:ext uri="{63B3BB69-23CF-44E3-9099-C40C66FF867C}">
                  <a14:compatExt spid="_x0000_s24602"/>
                </a:ext>
                <a:ext uri="{FF2B5EF4-FFF2-40B4-BE49-F238E27FC236}">
                  <a16:creationId xmlns:a16="http://schemas.microsoft.com/office/drawing/2014/main" id="{00000000-0008-0000-0600-00001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111</xdr:row>
          <xdr:rowOff>312420</xdr:rowOff>
        </xdr:from>
        <xdr:to>
          <xdr:col>2</xdr:col>
          <xdr:colOff>525780</xdr:colOff>
          <xdr:row>113</xdr:row>
          <xdr:rowOff>7620</xdr:rowOff>
        </xdr:to>
        <xdr:sp macro="" textlink="">
          <xdr:nvSpPr>
            <xdr:cNvPr id="24603" name="Check Box 27" hidden="1">
              <a:extLst>
                <a:ext uri="{63B3BB69-23CF-44E3-9099-C40C66FF867C}">
                  <a14:compatExt spid="_x0000_s24603"/>
                </a:ext>
                <a:ext uri="{FF2B5EF4-FFF2-40B4-BE49-F238E27FC236}">
                  <a16:creationId xmlns:a16="http://schemas.microsoft.com/office/drawing/2014/main" id="{00000000-0008-0000-0600-00001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115</xdr:row>
          <xdr:rowOff>175260</xdr:rowOff>
        </xdr:from>
        <xdr:to>
          <xdr:col>2</xdr:col>
          <xdr:colOff>525780</xdr:colOff>
          <xdr:row>117</xdr:row>
          <xdr:rowOff>7620</xdr:rowOff>
        </xdr:to>
        <xdr:sp macro="" textlink="">
          <xdr:nvSpPr>
            <xdr:cNvPr id="24604" name="Check Box 28" hidden="1">
              <a:extLst>
                <a:ext uri="{63B3BB69-23CF-44E3-9099-C40C66FF867C}">
                  <a14:compatExt spid="_x0000_s24604"/>
                </a:ext>
                <a:ext uri="{FF2B5EF4-FFF2-40B4-BE49-F238E27FC236}">
                  <a16:creationId xmlns:a16="http://schemas.microsoft.com/office/drawing/2014/main" id="{00000000-0008-0000-0600-00001C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114</xdr:row>
          <xdr:rowOff>175260</xdr:rowOff>
        </xdr:from>
        <xdr:to>
          <xdr:col>2</xdr:col>
          <xdr:colOff>525780</xdr:colOff>
          <xdr:row>116</xdr:row>
          <xdr:rowOff>7620</xdr:rowOff>
        </xdr:to>
        <xdr:sp macro="" textlink="">
          <xdr:nvSpPr>
            <xdr:cNvPr id="24605" name="Check Box 29" hidden="1">
              <a:extLst>
                <a:ext uri="{63B3BB69-23CF-44E3-9099-C40C66FF867C}">
                  <a14:compatExt spid="_x0000_s24605"/>
                </a:ext>
                <a:ext uri="{FF2B5EF4-FFF2-40B4-BE49-F238E27FC236}">
                  <a16:creationId xmlns:a16="http://schemas.microsoft.com/office/drawing/2014/main" id="{00000000-0008-0000-0600-00001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120</xdr:row>
          <xdr:rowOff>175260</xdr:rowOff>
        </xdr:from>
        <xdr:to>
          <xdr:col>2</xdr:col>
          <xdr:colOff>525780</xdr:colOff>
          <xdr:row>122</xdr:row>
          <xdr:rowOff>7620</xdr:rowOff>
        </xdr:to>
        <xdr:sp macro="" textlink="">
          <xdr:nvSpPr>
            <xdr:cNvPr id="24606" name="Check Box 30" hidden="1">
              <a:extLst>
                <a:ext uri="{63B3BB69-23CF-44E3-9099-C40C66FF867C}">
                  <a14:compatExt spid="_x0000_s24606"/>
                </a:ext>
                <a:ext uri="{FF2B5EF4-FFF2-40B4-BE49-F238E27FC236}">
                  <a16:creationId xmlns:a16="http://schemas.microsoft.com/office/drawing/2014/main" id="{00000000-0008-0000-0600-00001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119</xdr:row>
          <xdr:rowOff>175260</xdr:rowOff>
        </xdr:from>
        <xdr:to>
          <xdr:col>2</xdr:col>
          <xdr:colOff>525780</xdr:colOff>
          <xdr:row>121</xdr:row>
          <xdr:rowOff>7620</xdr:rowOff>
        </xdr:to>
        <xdr:sp macro="" textlink="">
          <xdr:nvSpPr>
            <xdr:cNvPr id="24607" name="Check Box 31" hidden="1">
              <a:extLst>
                <a:ext uri="{63B3BB69-23CF-44E3-9099-C40C66FF867C}">
                  <a14:compatExt spid="_x0000_s24607"/>
                </a:ext>
                <a:ext uri="{FF2B5EF4-FFF2-40B4-BE49-F238E27FC236}">
                  <a16:creationId xmlns:a16="http://schemas.microsoft.com/office/drawing/2014/main" id="{00000000-0008-0000-0600-00001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127</xdr:row>
          <xdr:rowOff>45720</xdr:rowOff>
        </xdr:from>
        <xdr:to>
          <xdr:col>2</xdr:col>
          <xdr:colOff>525780</xdr:colOff>
          <xdr:row>128</xdr:row>
          <xdr:rowOff>0</xdr:rowOff>
        </xdr:to>
        <xdr:sp macro="" textlink="">
          <xdr:nvSpPr>
            <xdr:cNvPr id="24608" name="Check Box 32" hidden="1">
              <a:extLst>
                <a:ext uri="{63B3BB69-23CF-44E3-9099-C40C66FF867C}">
                  <a14:compatExt spid="_x0000_s24608"/>
                </a:ext>
                <a:ext uri="{FF2B5EF4-FFF2-40B4-BE49-F238E27FC236}">
                  <a16:creationId xmlns:a16="http://schemas.microsoft.com/office/drawing/2014/main" id="{00000000-0008-0000-0600-00002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126</xdr:row>
          <xdr:rowOff>60960</xdr:rowOff>
        </xdr:from>
        <xdr:to>
          <xdr:col>2</xdr:col>
          <xdr:colOff>518160</xdr:colOff>
          <xdr:row>127</xdr:row>
          <xdr:rowOff>0</xdr:rowOff>
        </xdr:to>
        <xdr:sp macro="" textlink="">
          <xdr:nvSpPr>
            <xdr:cNvPr id="24609" name="Check Box 33" hidden="1">
              <a:extLst>
                <a:ext uri="{63B3BB69-23CF-44E3-9099-C40C66FF867C}">
                  <a14:compatExt spid="_x0000_s24609"/>
                </a:ext>
                <a:ext uri="{FF2B5EF4-FFF2-40B4-BE49-F238E27FC236}">
                  <a16:creationId xmlns:a16="http://schemas.microsoft.com/office/drawing/2014/main" id="{00000000-0008-0000-0600-00002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125</xdr:row>
          <xdr:rowOff>38100</xdr:rowOff>
        </xdr:from>
        <xdr:to>
          <xdr:col>2</xdr:col>
          <xdr:colOff>525780</xdr:colOff>
          <xdr:row>126</xdr:row>
          <xdr:rowOff>0</xdr:rowOff>
        </xdr:to>
        <xdr:sp macro="" textlink="">
          <xdr:nvSpPr>
            <xdr:cNvPr id="24610" name="Check Box 34" hidden="1">
              <a:extLst>
                <a:ext uri="{63B3BB69-23CF-44E3-9099-C40C66FF867C}">
                  <a14:compatExt spid="_x0000_s24610"/>
                </a:ext>
                <a:ext uri="{FF2B5EF4-FFF2-40B4-BE49-F238E27FC236}">
                  <a16:creationId xmlns:a16="http://schemas.microsoft.com/office/drawing/2014/main" id="{00000000-0008-0000-0600-00002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131</xdr:row>
          <xdr:rowOff>160020</xdr:rowOff>
        </xdr:from>
        <xdr:to>
          <xdr:col>2</xdr:col>
          <xdr:colOff>518160</xdr:colOff>
          <xdr:row>133</xdr:row>
          <xdr:rowOff>0</xdr:rowOff>
        </xdr:to>
        <xdr:sp macro="" textlink="">
          <xdr:nvSpPr>
            <xdr:cNvPr id="24612" name="Check Box 36" hidden="1">
              <a:extLst>
                <a:ext uri="{63B3BB69-23CF-44E3-9099-C40C66FF867C}">
                  <a14:compatExt spid="_x0000_s24612"/>
                </a:ext>
                <a:ext uri="{FF2B5EF4-FFF2-40B4-BE49-F238E27FC236}">
                  <a16:creationId xmlns:a16="http://schemas.microsoft.com/office/drawing/2014/main" id="{00000000-0008-0000-0600-00002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132</xdr:row>
          <xdr:rowOff>182880</xdr:rowOff>
        </xdr:from>
        <xdr:to>
          <xdr:col>2</xdr:col>
          <xdr:colOff>518160</xdr:colOff>
          <xdr:row>134</xdr:row>
          <xdr:rowOff>22860</xdr:rowOff>
        </xdr:to>
        <xdr:sp macro="" textlink="">
          <xdr:nvSpPr>
            <xdr:cNvPr id="24613" name="Check Box 37" hidden="1">
              <a:extLst>
                <a:ext uri="{63B3BB69-23CF-44E3-9099-C40C66FF867C}">
                  <a14:compatExt spid="_x0000_s24613"/>
                </a:ext>
                <a:ext uri="{FF2B5EF4-FFF2-40B4-BE49-F238E27FC236}">
                  <a16:creationId xmlns:a16="http://schemas.microsoft.com/office/drawing/2014/main" id="{00000000-0008-0000-0600-00002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213360</xdr:colOff>
          <xdr:row>77</xdr:row>
          <xdr:rowOff>38100</xdr:rowOff>
        </xdr:from>
        <xdr:to>
          <xdr:col>2</xdr:col>
          <xdr:colOff>556260</xdr:colOff>
          <xdr:row>78</xdr:row>
          <xdr:rowOff>0</xdr:rowOff>
        </xdr:to>
        <xdr:sp macro="" textlink="">
          <xdr:nvSpPr>
            <xdr:cNvPr id="24614" name="Check Box 38" hidden="1">
              <a:extLst>
                <a:ext uri="{63B3BB69-23CF-44E3-9099-C40C66FF867C}">
                  <a14:compatExt spid="_x0000_s24614"/>
                </a:ext>
                <a:ext uri="{FF2B5EF4-FFF2-40B4-BE49-F238E27FC236}">
                  <a16:creationId xmlns:a16="http://schemas.microsoft.com/office/drawing/2014/main" id="{00000000-0008-0000-0600-00002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97</xdr:row>
          <xdr:rowOff>68580</xdr:rowOff>
        </xdr:from>
        <xdr:to>
          <xdr:col>2</xdr:col>
          <xdr:colOff>525780</xdr:colOff>
          <xdr:row>98</xdr:row>
          <xdr:rowOff>0</xdr:rowOff>
        </xdr:to>
        <xdr:sp macro="" textlink="">
          <xdr:nvSpPr>
            <xdr:cNvPr id="24615" name="Check Box 39" hidden="1">
              <a:extLst>
                <a:ext uri="{63B3BB69-23CF-44E3-9099-C40C66FF867C}">
                  <a14:compatExt spid="_x0000_s24615"/>
                </a:ext>
                <a:ext uri="{FF2B5EF4-FFF2-40B4-BE49-F238E27FC236}">
                  <a16:creationId xmlns:a16="http://schemas.microsoft.com/office/drawing/2014/main" id="{00000000-0008-0000-0600-00002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18</xdr:row>
          <xdr:rowOff>160020</xdr:rowOff>
        </xdr:from>
        <xdr:to>
          <xdr:col>2</xdr:col>
          <xdr:colOff>525780</xdr:colOff>
          <xdr:row>20</xdr:row>
          <xdr:rowOff>0</xdr:rowOff>
        </xdr:to>
        <xdr:sp macro="" textlink="">
          <xdr:nvSpPr>
            <xdr:cNvPr id="24618" name="Check Box 42" hidden="1">
              <a:extLst>
                <a:ext uri="{63B3BB69-23CF-44E3-9099-C40C66FF867C}">
                  <a14:compatExt spid="_x0000_s24618"/>
                </a:ext>
                <a:ext uri="{FF2B5EF4-FFF2-40B4-BE49-F238E27FC236}">
                  <a16:creationId xmlns:a16="http://schemas.microsoft.com/office/drawing/2014/main" id="{00000000-0008-0000-0600-00002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2065020</xdr:colOff>
          <xdr:row>19</xdr:row>
          <xdr:rowOff>160020</xdr:rowOff>
        </xdr:from>
        <xdr:to>
          <xdr:col>2</xdr:col>
          <xdr:colOff>2407920</xdr:colOff>
          <xdr:row>21</xdr:row>
          <xdr:rowOff>0</xdr:rowOff>
        </xdr:to>
        <xdr:sp macro="" textlink="">
          <xdr:nvSpPr>
            <xdr:cNvPr id="24623" name="Check Box 47" hidden="1">
              <a:extLst>
                <a:ext uri="{63B3BB69-23CF-44E3-9099-C40C66FF867C}">
                  <a14:compatExt spid="_x0000_s24623"/>
                </a:ext>
                <a:ext uri="{FF2B5EF4-FFF2-40B4-BE49-F238E27FC236}">
                  <a16:creationId xmlns:a16="http://schemas.microsoft.com/office/drawing/2014/main" id="{00000000-0008-0000-0600-00002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868680</xdr:colOff>
          <xdr:row>19</xdr:row>
          <xdr:rowOff>175260</xdr:rowOff>
        </xdr:from>
        <xdr:to>
          <xdr:col>2</xdr:col>
          <xdr:colOff>1211580</xdr:colOff>
          <xdr:row>21</xdr:row>
          <xdr:rowOff>7620</xdr:rowOff>
        </xdr:to>
        <xdr:sp macro="" textlink="">
          <xdr:nvSpPr>
            <xdr:cNvPr id="24624" name="Check Box 48" hidden="1">
              <a:extLst>
                <a:ext uri="{63B3BB69-23CF-44E3-9099-C40C66FF867C}">
                  <a14:compatExt spid="_x0000_s24624"/>
                </a:ext>
                <a:ext uri="{FF2B5EF4-FFF2-40B4-BE49-F238E27FC236}">
                  <a16:creationId xmlns:a16="http://schemas.microsoft.com/office/drawing/2014/main" id="{00000000-0008-0000-0600-000030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2065020</xdr:colOff>
          <xdr:row>18</xdr:row>
          <xdr:rowOff>160020</xdr:rowOff>
        </xdr:from>
        <xdr:to>
          <xdr:col>2</xdr:col>
          <xdr:colOff>2407920</xdr:colOff>
          <xdr:row>20</xdr:row>
          <xdr:rowOff>0</xdr:rowOff>
        </xdr:to>
        <xdr:sp macro="" textlink="">
          <xdr:nvSpPr>
            <xdr:cNvPr id="24625" name="Check Box 49" hidden="1">
              <a:extLst>
                <a:ext uri="{63B3BB69-23CF-44E3-9099-C40C66FF867C}">
                  <a14:compatExt spid="_x0000_s24625"/>
                </a:ext>
                <a:ext uri="{FF2B5EF4-FFF2-40B4-BE49-F238E27FC236}">
                  <a16:creationId xmlns:a16="http://schemas.microsoft.com/office/drawing/2014/main" id="{00000000-0008-0000-0600-00003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868680</xdr:colOff>
          <xdr:row>18</xdr:row>
          <xdr:rowOff>182880</xdr:rowOff>
        </xdr:from>
        <xdr:to>
          <xdr:col>2</xdr:col>
          <xdr:colOff>1211580</xdr:colOff>
          <xdr:row>20</xdr:row>
          <xdr:rowOff>22860</xdr:rowOff>
        </xdr:to>
        <xdr:sp macro="" textlink="">
          <xdr:nvSpPr>
            <xdr:cNvPr id="24626" name="Check Box 50" hidden="1">
              <a:extLst>
                <a:ext uri="{63B3BB69-23CF-44E3-9099-C40C66FF867C}">
                  <a14:compatExt spid="_x0000_s24626"/>
                </a:ext>
                <a:ext uri="{FF2B5EF4-FFF2-40B4-BE49-F238E27FC236}">
                  <a16:creationId xmlns:a16="http://schemas.microsoft.com/office/drawing/2014/main" id="{00000000-0008-0000-0600-00003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2080260</xdr:colOff>
          <xdr:row>23</xdr:row>
          <xdr:rowOff>175260</xdr:rowOff>
        </xdr:from>
        <xdr:to>
          <xdr:col>2</xdr:col>
          <xdr:colOff>2423160</xdr:colOff>
          <xdr:row>25</xdr:row>
          <xdr:rowOff>7620</xdr:rowOff>
        </xdr:to>
        <xdr:sp macro="" textlink="">
          <xdr:nvSpPr>
            <xdr:cNvPr id="24627" name="Check Box 51" hidden="1">
              <a:extLst>
                <a:ext uri="{63B3BB69-23CF-44E3-9099-C40C66FF867C}">
                  <a14:compatExt spid="_x0000_s24627"/>
                </a:ext>
                <a:ext uri="{FF2B5EF4-FFF2-40B4-BE49-F238E27FC236}">
                  <a16:creationId xmlns:a16="http://schemas.microsoft.com/office/drawing/2014/main" id="{00000000-0008-0000-0600-00003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868680</xdr:colOff>
          <xdr:row>20</xdr:row>
          <xdr:rowOff>175260</xdr:rowOff>
        </xdr:from>
        <xdr:to>
          <xdr:col>2</xdr:col>
          <xdr:colOff>1211580</xdr:colOff>
          <xdr:row>22</xdr:row>
          <xdr:rowOff>7620</xdr:rowOff>
        </xdr:to>
        <xdr:sp macro="" textlink="">
          <xdr:nvSpPr>
            <xdr:cNvPr id="24628" name="Check Box 52" hidden="1">
              <a:extLst>
                <a:ext uri="{63B3BB69-23CF-44E3-9099-C40C66FF867C}">
                  <a14:compatExt spid="_x0000_s24628"/>
                </a:ext>
                <a:ext uri="{FF2B5EF4-FFF2-40B4-BE49-F238E27FC236}">
                  <a16:creationId xmlns:a16="http://schemas.microsoft.com/office/drawing/2014/main" id="{00000000-0008-0000-0600-00003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2065020</xdr:colOff>
          <xdr:row>21</xdr:row>
          <xdr:rowOff>160020</xdr:rowOff>
        </xdr:from>
        <xdr:to>
          <xdr:col>2</xdr:col>
          <xdr:colOff>2407920</xdr:colOff>
          <xdr:row>23</xdr:row>
          <xdr:rowOff>0</xdr:rowOff>
        </xdr:to>
        <xdr:sp macro="" textlink="">
          <xdr:nvSpPr>
            <xdr:cNvPr id="24630" name="Check Box 54" hidden="1">
              <a:extLst>
                <a:ext uri="{63B3BB69-23CF-44E3-9099-C40C66FF867C}">
                  <a14:compatExt spid="_x0000_s24630"/>
                </a:ext>
                <a:ext uri="{FF2B5EF4-FFF2-40B4-BE49-F238E27FC236}">
                  <a16:creationId xmlns:a16="http://schemas.microsoft.com/office/drawing/2014/main" id="{00000000-0008-0000-0600-00003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861060</xdr:colOff>
          <xdr:row>23</xdr:row>
          <xdr:rowOff>182880</xdr:rowOff>
        </xdr:from>
        <xdr:to>
          <xdr:col>2</xdr:col>
          <xdr:colOff>1203960</xdr:colOff>
          <xdr:row>25</xdr:row>
          <xdr:rowOff>22860</xdr:rowOff>
        </xdr:to>
        <xdr:sp macro="" textlink="">
          <xdr:nvSpPr>
            <xdr:cNvPr id="24631" name="Check Box 55" hidden="1">
              <a:extLst>
                <a:ext uri="{63B3BB69-23CF-44E3-9099-C40C66FF867C}">
                  <a14:compatExt spid="_x0000_s24631"/>
                </a:ext>
                <a:ext uri="{FF2B5EF4-FFF2-40B4-BE49-F238E27FC236}">
                  <a16:creationId xmlns:a16="http://schemas.microsoft.com/office/drawing/2014/main" id="{00000000-0008-0000-0600-00003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868680</xdr:colOff>
          <xdr:row>21</xdr:row>
          <xdr:rowOff>182880</xdr:rowOff>
        </xdr:from>
        <xdr:to>
          <xdr:col>2</xdr:col>
          <xdr:colOff>1211580</xdr:colOff>
          <xdr:row>23</xdr:row>
          <xdr:rowOff>22860</xdr:rowOff>
        </xdr:to>
        <xdr:sp macro="" textlink="">
          <xdr:nvSpPr>
            <xdr:cNvPr id="24632" name="Check Box 56" hidden="1">
              <a:extLst>
                <a:ext uri="{63B3BB69-23CF-44E3-9099-C40C66FF867C}">
                  <a14:compatExt spid="_x0000_s24632"/>
                </a:ext>
                <a:ext uri="{FF2B5EF4-FFF2-40B4-BE49-F238E27FC236}">
                  <a16:creationId xmlns:a16="http://schemas.microsoft.com/office/drawing/2014/main" id="{00000000-0008-0000-0600-00003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861060</xdr:colOff>
          <xdr:row>22</xdr:row>
          <xdr:rowOff>175260</xdr:rowOff>
        </xdr:from>
        <xdr:to>
          <xdr:col>2</xdr:col>
          <xdr:colOff>1203960</xdr:colOff>
          <xdr:row>24</xdr:row>
          <xdr:rowOff>7620</xdr:rowOff>
        </xdr:to>
        <xdr:sp macro="" textlink="">
          <xdr:nvSpPr>
            <xdr:cNvPr id="24633" name="Check Box 57" hidden="1">
              <a:extLst>
                <a:ext uri="{63B3BB69-23CF-44E3-9099-C40C66FF867C}">
                  <a14:compatExt spid="_x0000_s24633"/>
                </a:ext>
                <a:ext uri="{FF2B5EF4-FFF2-40B4-BE49-F238E27FC236}">
                  <a16:creationId xmlns:a16="http://schemas.microsoft.com/office/drawing/2014/main" id="{00000000-0008-0000-0600-00003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2065020</xdr:colOff>
          <xdr:row>22</xdr:row>
          <xdr:rowOff>175260</xdr:rowOff>
        </xdr:from>
        <xdr:to>
          <xdr:col>2</xdr:col>
          <xdr:colOff>2407920</xdr:colOff>
          <xdr:row>24</xdr:row>
          <xdr:rowOff>7620</xdr:rowOff>
        </xdr:to>
        <xdr:sp macro="" textlink="">
          <xdr:nvSpPr>
            <xdr:cNvPr id="24634" name="Check Box 58" hidden="1">
              <a:extLst>
                <a:ext uri="{63B3BB69-23CF-44E3-9099-C40C66FF867C}">
                  <a14:compatExt spid="_x0000_s24634"/>
                </a:ext>
                <a:ext uri="{FF2B5EF4-FFF2-40B4-BE49-F238E27FC236}">
                  <a16:creationId xmlns:a16="http://schemas.microsoft.com/office/drawing/2014/main" id="{00000000-0008-0000-0600-00003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98</xdr:row>
          <xdr:rowOff>365760</xdr:rowOff>
        </xdr:from>
        <xdr:to>
          <xdr:col>2</xdr:col>
          <xdr:colOff>525780</xdr:colOff>
          <xdr:row>100</xdr:row>
          <xdr:rowOff>22860</xdr:rowOff>
        </xdr:to>
        <xdr:sp macro="" textlink="">
          <xdr:nvSpPr>
            <xdr:cNvPr id="24638" name="Check Box 62" hidden="1">
              <a:extLst>
                <a:ext uri="{63B3BB69-23CF-44E3-9099-C40C66FF867C}">
                  <a14:compatExt spid="_x0000_s24638"/>
                </a:ext>
                <a:ext uri="{FF2B5EF4-FFF2-40B4-BE49-F238E27FC236}">
                  <a16:creationId xmlns:a16="http://schemas.microsoft.com/office/drawing/2014/main" id="{00000000-0008-0000-0600-00003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99</xdr:row>
          <xdr:rowOff>365760</xdr:rowOff>
        </xdr:from>
        <xdr:to>
          <xdr:col>2</xdr:col>
          <xdr:colOff>525780</xdr:colOff>
          <xdr:row>101</xdr:row>
          <xdr:rowOff>22860</xdr:rowOff>
        </xdr:to>
        <xdr:sp macro="" textlink="">
          <xdr:nvSpPr>
            <xdr:cNvPr id="24639" name="Check Box 63" hidden="1">
              <a:extLst>
                <a:ext uri="{63B3BB69-23CF-44E3-9099-C40C66FF867C}">
                  <a14:compatExt spid="_x0000_s24639"/>
                </a:ext>
                <a:ext uri="{FF2B5EF4-FFF2-40B4-BE49-F238E27FC236}">
                  <a16:creationId xmlns:a16="http://schemas.microsoft.com/office/drawing/2014/main" id="{00000000-0008-0000-0600-00003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29</xdr:row>
          <xdr:rowOff>175260</xdr:rowOff>
        </xdr:from>
        <xdr:to>
          <xdr:col>2</xdr:col>
          <xdr:colOff>525780</xdr:colOff>
          <xdr:row>31</xdr:row>
          <xdr:rowOff>0</xdr:rowOff>
        </xdr:to>
        <xdr:sp macro="" textlink="">
          <xdr:nvSpPr>
            <xdr:cNvPr id="24642" name="Check Box 66" hidden="1">
              <a:extLst>
                <a:ext uri="{63B3BB69-23CF-44E3-9099-C40C66FF867C}">
                  <a14:compatExt spid="_x0000_s24642"/>
                </a:ext>
                <a:ext uri="{FF2B5EF4-FFF2-40B4-BE49-F238E27FC236}">
                  <a16:creationId xmlns:a16="http://schemas.microsoft.com/office/drawing/2014/main" id="{00000000-0008-0000-0600-00004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30</xdr:row>
          <xdr:rowOff>175260</xdr:rowOff>
        </xdr:from>
        <xdr:to>
          <xdr:col>2</xdr:col>
          <xdr:colOff>525780</xdr:colOff>
          <xdr:row>32</xdr:row>
          <xdr:rowOff>7620</xdr:rowOff>
        </xdr:to>
        <xdr:sp macro="" textlink="">
          <xdr:nvSpPr>
            <xdr:cNvPr id="24646" name="Check Box 70" hidden="1">
              <a:extLst>
                <a:ext uri="{63B3BB69-23CF-44E3-9099-C40C66FF867C}">
                  <a14:compatExt spid="_x0000_s24646"/>
                </a:ext>
                <a:ext uri="{FF2B5EF4-FFF2-40B4-BE49-F238E27FC236}">
                  <a16:creationId xmlns:a16="http://schemas.microsoft.com/office/drawing/2014/main" id="{00000000-0008-0000-0600-00004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34</xdr:row>
          <xdr:rowOff>0</xdr:rowOff>
        </xdr:from>
        <xdr:to>
          <xdr:col>2</xdr:col>
          <xdr:colOff>525780</xdr:colOff>
          <xdr:row>35</xdr:row>
          <xdr:rowOff>30480</xdr:rowOff>
        </xdr:to>
        <xdr:sp macro="" textlink="">
          <xdr:nvSpPr>
            <xdr:cNvPr id="24651" name="Check Box 75" hidden="1">
              <a:extLst>
                <a:ext uri="{63B3BB69-23CF-44E3-9099-C40C66FF867C}">
                  <a14:compatExt spid="_x0000_s24651"/>
                </a:ext>
                <a:ext uri="{FF2B5EF4-FFF2-40B4-BE49-F238E27FC236}">
                  <a16:creationId xmlns:a16="http://schemas.microsoft.com/office/drawing/2014/main" id="{00000000-0008-0000-0600-00004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35</xdr:row>
          <xdr:rowOff>0</xdr:rowOff>
        </xdr:from>
        <xdr:to>
          <xdr:col>2</xdr:col>
          <xdr:colOff>525780</xdr:colOff>
          <xdr:row>36</xdr:row>
          <xdr:rowOff>30480</xdr:rowOff>
        </xdr:to>
        <xdr:sp macro="" textlink="">
          <xdr:nvSpPr>
            <xdr:cNvPr id="24655" name="Check Box 79" hidden="1">
              <a:extLst>
                <a:ext uri="{63B3BB69-23CF-44E3-9099-C40C66FF867C}">
                  <a14:compatExt spid="_x0000_s24655"/>
                </a:ext>
                <a:ext uri="{FF2B5EF4-FFF2-40B4-BE49-F238E27FC236}">
                  <a16:creationId xmlns:a16="http://schemas.microsoft.com/office/drawing/2014/main" id="{00000000-0008-0000-0600-00004F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136</xdr:row>
          <xdr:rowOff>160020</xdr:rowOff>
        </xdr:from>
        <xdr:to>
          <xdr:col>2</xdr:col>
          <xdr:colOff>518160</xdr:colOff>
          <xdr:row>138</xdr:row>
          <xdr:rowOff>0</xdr:rowOff>
        </xdr:to>
        <xdr:sp macro="" textlink="">
          <xdr:nvSpPr>
            <xdr:cNvPr id="24658" name="Check Box 82" hidden="1">
              <a:extLst>
                <a:ext uri="{63B3BB69-23CF-44E3-9099-C40C66FF867C}">
                  <a14:compatExt spid="_x0000_s24658"/>
                </a:ext>
                <a:ext uri="{FF2B5EF4-FFF2-40B4-BE49-F238E27FC236}">
                  <a16:creationId xmlns:a16="http://schemas.microsoft.com/office/drawing/2014/main" id="{00000000-0008-0000-0600-00005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137</xdr:row>
          <xdr:rowOff>182880</xdr:rowOff>
        </xdr:from>
        <xdr:to>
          <xdr:col>2</xdr:col>
          <xdr:colOff>518160</xdr:colOff>
          <xdr:row>139</xdr:row>
          <xdr:rowOff>22860</xdr:rowOff>
        </xdr:to>
        <xdr:sp macro="" textlink="">
          <xdr:nvSpPr>
            <xdr:cNvPr id="24659" name="Check Box 83" hidden="1">
              <a:extLst>
                <a:ext uri="{63B3BB69-23CF-44E3-9099-C40C66FF867C}">
                  <a14:compatExt spid="_x0000_s24659"/>
                </a:ext>
                <a:ext uri="{FF2B5EF4-FFF2-40B4-BE49-F238E27FC236}">
                  <a16:creationId xmlns:a16="http://schemas.microsoft.com/office/drawing/2014/main" id="{00000000-0008-0000-0600-00005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70</xdr:row>
          <xdr:rowOff>175260</xdr:rowOff>
        </xdr:from>
        <xdr:to>
          <xdr:col>2</xdr:col>
          <xdr:colOff>525780</xdr:colOff>
          <xdr:row>70</xdr:row>
          <xdr:rowOff>388620</xdr:rowOff>
        </xdr:to>
        <xdr:sp macro="" textlink="">
          <xdr:nvSpPr>
            <xdr:cNvPr id="24664" name="Check Box 88" hidden="1">
              <a:extLst>
                <a:ext uri="{63B3BB69-23CF-44E3-9099-C40C66FF867C}">
                  <a14:compatExt spid="_x0000_s24664"/>
                </a:ext>
                <a:ext uri="{FF2B5EF4-FFF2-40B4-BE49-F238E27FC236}">
                  <a16:creationId xmlns:a16="http://schemas.microsoft.com/office/drawing/2014/main" id="{00000000-0008-0000-0600-00005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71</xdr:row>
          <xdr:rowOff>175260</xdr:rowOff>
        </xdr:from>
        <xdr:to>
          <xdr:col>2</xdr:col>
          <xdr:colOff>525780</xdr:colOff>
          <xdr:row>71</xdr:row>
          <xdr:rowOff>388620</xdr:rowOff>
        </xdr:to>
        <xdr:sp macro="" textlink="">
          <xdr:nvSpPr>
            <xdr:cNvPr id="24666" name="Check Box 90" hidden="1">
              <a:extLst>
                <a:ext uri="{63B3BB69-23CF-44E3-9099-C40C66FF867C}">
                  <a14:compatExt spid="_x0000_s24666"/>
                </a:ext>
                <a:ext uri="{FF2B5EF4-FFF2-40B4-BE49-F238E27FC236}">
                  <a16:creationId xmlns:a16="http://schemas.microsoft.com/office/drawing/2014/main" id="{00000000-0008-0000-0600-00005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79</xdr:row>
          <xdr:rowOff>175260</xdr:rowOff>
        </xdr:from>
        <xdr:to>
          <xdr:col>2</xdr:col>
          <xdr:colOff>525780</xdr:colOff>
          <xdr:row>79</xdr:row>
          <xdr:rowOff>388620</xdr:rowOff>
        </xdr:to>
        <xdr:sp macro="" textlink="">
          <xdr:nvSpPr>
            <xdr:cNvPr id="24669" name="Check Box 93" hidden="1">
              <a:extLst>
                <a:ext uri="{63B3BB69-23CF-44E3-9099-C40C66FF867C}">
                  <a14:compatExt spid="_x0000_s24669"/>
                </a:ext>
                <a:ext uri="{FF2B5EF4-FFF2-40B4-BE49-F238E27FC236}">
                  <a16:creationId xmlns:a16="http://schemas.microsoft.com/office/drawing/2014/main" id="{00000000-0008-0000-0600-00005D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80</xdr:row>
          <xdr:rowOff>175260</xdr:rowOff>
        </xdr:from>
        <xdr:to>
          <xdr:col>2</xdr:col>
          <xdr:colOff>525780</xdr:colOff>
          <xdr:row>80</xdr:row>
          <xdr:rowOff>388620</xdr:rowOff>
        </xdr:to>
        <xdr:sp macro="" textlink="">
          <xdr:nvSpPr>
            <xdr:cNvPr id="24670" name="Check Box 94" hidden="1">
              <a:extLst>
                <a:ext uri="{63B3BB69-23CF-44E3-9099-C40C66FF867C}">
                  <a14:compatExt spid="_x0000_s24670"/>
                </a:ext>
                <a:ext uri="{FF2B5EF4-FFF2-40B4-BE49-F238E27FC236}">
                  <a16:creationId xmlns:a16="http://schemas.microsoft.com/office/drawing/2014/main" id="{00000000-0008-0000-0600-00005E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63</xdr:row>
          <xdr:rowOff>175260</xdr:rowOff>
        </xdr:from>
        <xdr:to>
          <xdr:col>2</xdr:col>
          <xdr:colOff>525780</xdr:colOff>
          <xdr:row>65</xdr:row>
          <xdr:rowOff>7620</xdr:rowOff>
        </xdr:to>
        <xdr:sp macro="" textlink="">
          <xdr:nvSpPr>
            <xdr:cNvPr id="24674" name="Check Box 98" hidden="1">
              <a:extLst>
                <a:ext uri="{63B3BB69-23CF-44E3-9099-C40C66FF867C}">
                  <a14:compatExt spid="_x0000_s24674"/>
                </a:ext>
                <a:ext uri="{FF2B5EF4-FFF2-40B4-BE49-F238E27FC236}">
                  <a16:creationId xmlns:a16="http://schemas.microsoft.com/office/drawing/2014/main" id="{00000000-0008-0000-0600-00006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62</xdr:row>
          <xdr:rowOff>175260</xdr:rowOff>
        </xdr:from>
        <xdr:to>
          <xdr:col>2</xdr:col>
          <xdr:colOff>525780</xdr:colOff>
          <xdr:row>64</xdr:row>
          <xdr:rowOff>7620</xdr:rowOff>
        </xdr:to>
        <xdr:sp macro="" textlink="">
          <xdr:nvSpPr>
            <xdr:cNvPr id="24675" name="Check Box 99" hidden="1">
              <a:extLst>
                <a:ext uri="{63B3BB69-23CF-44E3-9099-C40C66FF867C}">
                  <a14:compatExt spid="_x0000_s24675"/>
                </a:ext>
                <a:ext uri="{FF2B5EF4-FFF2-40B4-BE49-F238E27FC236}">
                  <a16:creationId xmlns:a16="http://schemas.microsoft.com/office/drawing/2014/main" id="{00000000-0008-0000-0600-00006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802005</xdr:colOff>
      <xdr:row>3</xdr:row>
      <xdr:rowOff>28575</xdr:rowOff>
    </xdr:from>
    <xdr:to>
      <xdr:col>12</xdr:col>
      <xdr:colOff>21464</xdr:colOff>
      <xdr:row>15</xdr:row>
      <xdr:rowOff>53787</xdr:rowOff>
    </xdr:to>
    <xdr:pic>
      <xdr:nvPicPr>
        <xdr:cNvPr id="2" name="Picture 1">
          <a:extLst>
            <a:ext uri="{FF2B5EF4-FFF2-40B4-BE49-F238E27FC236}">
              <a16:creationId xmlns:a16="http://schemas.microsoft.com/office/drawing/2014/main" id="{20D137C0-BD1F-43DB-B2A3-DAAA5FD322ED}"/>
            </a:ext>
          </a:extLst>
        </xdr:cNvPr>
        <xdr:cNvPicPr>
          <a:picLocks noChangeAspect="1"/>
        </xdr:cNvPicPr>
      </xdr:nvPicPr>
      <xdr:blipFill>
        <a:blip xmlns:r="http://schemas.openxmlformats.org/officeDocument/2006/relationships" r:embed="rId1"/>
        <a:stretch>
          <a:fillRect/>
        </a:stretch>
      </xdr:blipFill>
      <xdr:spPr>
        <a:xfrm>
          <a:off x="8488680" y="628650"/>
          <a:ext cx="5305934" cy="2267397"/>
        </a:xfrm>
        <a:prstGeom prst="rect">
          <a:avLst/>
        </a:prstGeom>
      </xdr:spPr>
    </xdr:pic>
    <xdr:clientData/>
  </xdr:twoCellAnchor>
  <xdr:twoCellAnchor editAs="oneCell">
    <xdr:from>
      <xdr:col>3</xdr:col>
      <xdr:colOff>182880</xdr:colOff>
      <xdr:row>48</xdr:row>
      <xdr:rowOff>161925</xdr:rowOff>
    </xdr:from>
    <xdr:to>
      <xdr:col>17</xdr:col>
      <xdr:colOff>246922</xdr:colOff>
      <xdr:row>51</xdr:row>
      <xdr:rowOff>59743</xdr:rowOff>
    </xdr:to>
    <xdr:pic>
      <xdr:nvPicPr>
        <xdr:cNvPr id="3" name="Picture 2">
          <a:extLst>
            <a:ext uri="{FF2B5EF4-FFF2-40B4-BE49-F238E27FC236}">
              <a16:creationId xmlns:a16="http://schemas.microsoft.com/office/drawing/2014/main" id="{779100FC-0E2D-4739-BC93-5E72F73CAFA2}"/>
            </a:ext>
          </a:extLst>
        </xdr:cNvPr>
        <xdr:cNvPicPr>
          <a:picLocks noChangeAspect="1"/>
        </xdr:cNvPicPr>
      </xdr:nvPicPr>
      <xdr:blipFill>
        <a:blip xmlns:r="http://schemas.openxmlformats.org/officeDocument/2006/relationships" r:embed="rId2"/>
        <a:stretch>
          <a:fillRect/>
        </a:stretch>
      </xdr:blipFill>
      <xdr:spPr>
        <a:xfrm>
          <a:off x="7869555" y="9572625"/>
          <a:ext cx="9192802" cy="463603"/>
        </a:xfrm>
        <a:prstGeom prst="rect">
          <a:avLst/>
        </a:prstGeom>
      </xdr:spPr>
    </xdr:pic>
    <xdr:clientData/>
  </xdr:twoCellAnchor>
  <xdr:twoCellAnchor editAs="oneCell">
    <xdr:from>
      <xdr:col>8</xdr:col>
      <xdr:colOff>314325</xdr:colOff>
      <xdr:row>52</xdr:row>
      <xdr:rowOff>68580</xdr:rowOff>
    </xdr:from>
    <xdr:to>
      <xdr:col>22</xdr:col>
      <xdr:colOff>591357</xdr:colOff>
      <xdr:row>57</xdr:row>
      <xdr:rowOff>170553</xdr:rowOff>
    </xdr:to>
    <xdr:pic>
      <xdr:nvPicPr>
        <xdr:cNvPr id="4" name="Picture 3">
          <a:extLst>
            <a:ext uri="{FF2B5EF4-FFF2-40B4-BE49-F238E27FC236}">
              <a16:creationId xmlns:a16="http://schemas.microsoft.com/office/drawing/2014/main" id="{7A52B667-CBCD-4491-AFB7-8715BF00081C}"/>
            </a:ext>
          </a:extLst>
        </xdr:cNvPr>
        <xdr:cNvPicPr>
          <a:picLocks noChangeAspect="1"/>
        </xdr:cNvPicPr>
      </xdr:nvPicPr>
      <xdr:blipFill>
        <a:blip xmlns:r="http://schemas.openxmlformats.org/officeDocument/2006/relationships" r:embed="rId3"/>
        <a:stretch>
          <a:fillRect/>
        </a:stretch>
      </xdr:blipFill>
      <xdr:spPr>
        <a:xfrm>
          <a:off x="11639550" y="10231755"/>
          <a:ext cx="8807622" cy="1163058"/>
        </a:xfrm>
        <a:prstGeom prst="rect">
          <a:avLst/>
        </a:prstGeom>
      </xdr:spPr>
    </xdr:pic>
    <xdr:clientData/>
  </xdr:twoCellAnchor>
  <xdr:twoCellAnchor editAs="oneCell">
    <xdr:from>
      <xdr:col>3</xdr:col>
      <xdr:colOff>276225</xdr:colOff>
      <xdr:row>81</xdr:row>
      <xdr:rowOff>209550</xdr:rowOff>
    </xdr:from>
    <xdr:to>
      <xdr:col>16</xdr:col>
      <xdr:colOff>398446</xdr:colOff>
      <xdr:row>82</xdr:row>
      <xdr:rowOff>170602</xdr:rowOff>
    </xdr:to>
    <xdr:pic>
      <xdr:nvPicPr>
        <xdr:cNvPr id="5" name="Picture 4">
          <a:extLst>
            <a:ext uri="{FF2B5EF4-FFF2-40B4-BE49-F238E27FC236}">
              <a16:creationId xmlns:a16="http://schemas.microsoft.com/office/drawing/2014/main" id="{98A0555E-7A57-4E6C-9520-25EC58E22565}"/>
            </a:ext>
          </a:extLst>
        </xdr:cNvPr>
        <xdr:cNvPicPr>
          <a:picLocks noChangeAspect="1"/>
        </xdr:cNvPicPr>
      </xdr:nvPicPr>
      <xdr:blipFill>
        <a:blip xmlns:r="http://schemas.openxmlformats.org/officeDocument/2006/relationships" r:embed="rId4"/>
        <a:stretch>
          <a:fillRect/>
        </a:stretch>
      </xdr:blipFill>
      <xdr:spPr>
        <a:xfrm>
          <a:off x="7962900" y="18573750"/>
          <a:ext cx="8647096" cy="517312"/>
        </a:xfrm>
        <a:prstGeom prst="rect">
          <a:avLst/>
        </a:prstGeom>
      </xdr:spPr>
    </xdr:pic>
    <xdr:clientData/>
  </xdr:twoCellAnchor>
  <xdr:twoCellAnchor editAs="oneCell">
    <xdr:from>
      <xdr:col>8</xdr:col>
      <xdr:colOff>161462</xdr:colOff>
      <xdr:row>82</xdr:row>
      <xdr:rowOff>266754</xdr:rowOff>
    </xdr:from>
    <xdr:to>
      <xdr:col>22</xdr:col>
      <xdr:colOff>249800</xdr:colOff>
      <xdr:row>84</xdr:row>
      <xdr:rowOff>175169</xdr:rowOff>
    </xdr:to>
    <xdr:pic>
      <xdr:nvPicPr>
        <xdr:cNvPr id="6" name="Picture 5">
          <a:extLst>
            <a:ext uri="{FF2B5EF4-FFF2-40B4-BE49-F238E27FC236}">
              <a16:creationId xmlns:a16="http://schemas.microsoft.com/office/drawing/2014/main" id="{DF298F47-6D2C-4019-A81F-3A5173A242BE}"/>
            </a:ext>
          </a:extLst>
        </xdr:cNvPr>
        <xdr:cNvPicPr>
          <a:picLocks noChangeAspect="1"/>
        </xdr:cNvPicPr>
      </xdr:nvPicPr>
      <xdr:blipFill>
        <a:blip xmlns:r="http://schemas.openxmlformats.org/officeDocument/2006/relationships" r:embed="rId5"/>
        <a:stretch>
          <a:fillRect/>
        </a:stretch>
      </xdr:blipFill>
      <xdr:spPr>
        <a:xfrm>
          <a:off x="11486687" y="19183404"/>
          <a:ext cx="8618928" cy="571355"/>
        </a:xfrm>
        <a:prstGeom prst="rect">
          <a:avLst/>
        </a:prstGeom>
      </xdr:spPr>
    </xdr:pic>
    <xdr:clientData/>
  </xdr:twoCellAnchor>
  <xdr:twoCellAnchor editAs="oneCell">
    <xdr:from>
      <xdr:col>3</xdr:col>
      <xdr:colOff>285750</xdr:colOff>
      <xdr:row>101</xdr:row>
      <xdr:rowOff>95250</xdr:rowOff>
    </xdr:from>
    <xdr:to>
      <xdr:col>16</xdr:col>
      <xdr:colOff>289329</xdr:colOff>
      <xdr:row>105</xdr:row>
      <xdr:rowOff>92244</xdr:rowOff>
    </xdr:to>
    <xdr:pic>
      <xdr:nvPicPr>
        <xdr:cNvPr id="7" name="Picture 6">
          <a:extLst>
            <a:ext uri="{FF2B5EF4-FFF2-40B4-BE49-F238E27FC236}">
              <a16:creationId xmlns:a16="http://schemas.microsoft.com/office/drawing/2014/main" id="{4E3AB16A-A322-495F-83F9-CC048F58F497}"/>
            </a:ext>
          </a:extLst>
        </xdr:cNvPr>
        <xdr:cNvPicPr>
          <a:picLocks noChangeAspect="1"/>
        </xdr:cNvPicPr>
      </xdr:nvPicPr>
      <xdr:blipFill>
        <a:blip xmlns:r="http://schemas.openxmlformats.org/officeDocument/2006/relationships" r:embed="rId6"/>
        <a:stretch>
          <a:fillRect/>
        </a:stretch>
      </xdr:blipFill>
      <xdr:spPr>
        <a:xfrm>
          <a:off x="7972425" y="23269575"/>
          <a:ext cx="8515119" cy="713274"/>
        </a:xfrm>
        <a:prstGeom prst="rect">
          <a:avLst/>
        </a:prstGeom>
      </xdr:spPr>
    </xdr:pic>
    <xdr:clientData/>
  </xdr:twoCellAnchor>
  <xdr:twoCellAnchor editAs="oneCell">
    <xdr:from>
      <xdr:col>3</xdr:col>
      <xdr:colOff>114300</xdr:colOff>
      <xdr:row>120</xdr:row>
      <xdr:rowOff>123825</xdr:rowOff>
    </xdr:from>
    <xdr:to>
      <xdr:col>13</xdr:col>
      <xdr:colOff>288689</xdr:colOff>
      <xdr:row>122</xdr:row>
      <xdr:rowOff>47433</xdr:rowOff>
    </xdr:to>
    <xdr:pic>
      <xdr:nvPicPr>
        <xdr:cNvPr id="8" name="Picture 7">
          <a:extLst>
            <a:ext uri="{FF2B5EF4-FFF2-40B4-BE49-F238E27FC236}">
              <a16:creationId xmlns:a16="http://schemas.microsoft.com/office/drawing/2014/main" id="{E6F5CB37-E72B-4C7E-B2D7-014913189485}"/>
            </a:ext>
          </a:extLst>
        </xdr:cNvPr>
        <xdr:cNvPicPr>
          <a:picLocks noChangeAspect="1"/>
        </xdr:cNvPicPr>
      </xdr:nvPicPr>
      <xdr:blipFill>
        <a:blip xmlns:r="http://schemas.openxmlformats.org/officeDocument/2006/relationships" r:embed="rId7"/>
        <a:stretch>
          <a:fillRect/>
        </a:stretch>
      </xdr:blipFill>
      <xdr:spPr>
        <a:xfrm>
          <a:off x="7800975" y="26774775"/>
          <a:ext cx="6864749" cy="3027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acqos-india\qos-apac\Documents%20and%20Settings\Arun\Desktop\Anjali\To%20be%20emailed\08%20Aug\24.08\DMM%20FORMULA.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BD-Sales\BID\Projects\NWR_Jaipur%20Div_Jaipur-Sawai%20Madhopur\03_Estimation\02_Commercial%20Estimation\01_Master\V.1_Cost%20Estimation_Template_Rev15.xlsx" TargetMode="External"/><Relationship Id="rId1" Type="http://schemas.openxmlformats.org/officeDocument/2006/relationships/externalLinkPath" Target="file:///F:\BD-Sales\BID\Projects\NWR_Jaipur%20Div_Jaipur-Sawai%20Madhopur\03_Estimation\02_Commercial%20Estimation\01_Master\V.1_Cost%20Estimation_Template_Re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DMM Plan"/>
      <sheetName val="DMM responsiblity Calender"/>
      <sheetName val="Ext Audit Action item Tracker"/>
      <sheetName val="SA8000 Roadmapvc1.0"/>
      <sheetName val="RoHS Road Map"/>
      <sheetName val="OHSAS 18k"/>
      <sheetName val="Pivot table data"/>
      <sheetName val="01 - Data &amp; chart"/>
      <sheetName val="Summary report - Top 5"/>
      <sheetName val="DMM Action Plan tracker 2006"/>
      <sheetName val="Annex V Road Map"/>
      <sheetName val="COPQ"/>
      <sheetName val="ICSS"/>
      <sheetName val="EL manual changes"/>
      <sheetName val="QMS"/>
      <sheetName val="EHS"/>
      <sheetName val="BPM"/>
      <sheetName val="QTC"/>
      <sheetName val="DCC"/>
      <sheetName val="PQR"/>
      <sheetName val="Agenda &amp; DMM Instructions "/>
      <sheetName val="2006 calender"/>
      <sheetName val="Formula Sheet"/>
    </sheetNames>
    <sheetDataSet>
      <sheetData sheetId="0"/>
      <sheetData sheetId="1"/>
      <sheetData sheetId="2"/>
      <sheetData sheetId="3"/>
      <sheetData sheetId="4"/>
      <sheetData sheetId="5"/>
      <sheetData sheetId="6"/>
      <sheetData sheetId="7"/>
      <sheetData sheetId="8"/>
      <sheetData sheetId="9">
        <row r="8">
          <cell r="A8" t="str">
            <v>S/n</v>
          </cell>
          <cell r="B8" t="str">
            <v>Month</v>
          </cell>
          <cell r="C8" t="str">
            <v>A / D</v>
          </cell>
          <cell r="D8" t="str">
            <v>Meeting Date</v>
          </cell>
          <cell r="E8" t="str">
            <v>Action Item</v>
          </cell>
          <cell r="F8" t="str">
            <v xml:space="preserve">Responsibility </v>
          </cell>
          <cell r="G8" t="str">
            <v>Target Date</v>
          </cell>
          <cell r="H8" t="str">
            <v>Revised Target Date</v>
          </cell>
          <cell r="I8" t="str">
            <v>Actual Closure Date</v>
          </cell>
          <cell r="J8" t="str">
            <v>Status</v>
          </cell>
          <cell r="K8" t="str">
            <v>% of Completion</v>
          </cell>
        </row>
        <row r="9">
          <cell r="A9" t="str">
            <v>1</v>
          </cell>
          <cell r="B9" t="str">
            <v>Jan</v>
          </cell>
          <cell r="C9" t="str">
            <v xml:space="preserve">A </v>
          </cell>
          <cell r="D9">
            <v>38722</v>
          </cell>
          <cell r="E9" t="str">
            <v>CIP Team Formation, New projects registration mail to be send to all team members for review</v>
          </cell>
          <cell r="F9" t="str">
            <v>Malini</v>
          </cell>
          <cell r="G9">
            <v>38722</v>
          </cell>
          <cell r="I9">
            <v>38722</v>
          </cell>
          <cell r="J9" t="str">
            <v>Closed</v>
          </cell>
          <cell r="K9" t="str">
            <v>100%</v>
          </cell>
        </row>
        <row r="10">
          <cell r="A10" t="str">
            <v>2</v>
          </cell>
          <cell r="B10" t="str">
            <v>Jan</v>
          </cell>
          <cell r="C10" t="str">
            <v xml:space="preserve">A </v>
          </cell>
          <cell r="D10">
            <v>38722</v>
          </cell>
          <cell r="E10" t="str">
            <v>DMM Action Plan tracker to be prepared with summary of analysis on meeting schedules, plan v/s action, Closure date, etc.</v>
          </cell>
          <cell r="F10" t="str">
            <v>Malini</v>
          </cell>
          <cell r="G10">
            <v>38723</v>
          </cell>
          <cell r="I10">
            <v>38723</v>
          </cell>
          <cell r="J10" t="str">
            <v>Closed</v>
          </cell>
          <cell r="K10" t="str">
            <v>100%</v>
          </cell>
        </row>
        <row r="11">
          <cell r="A11" t="str">
            <v>3</v>
          </cell>
          <cell r="B11" t="str">
            <v>Jan</v>
          </cell>
          <cell r="C11" t="str">
            <v xml:space="preserve">A </v>
          </cell>
          <cell r="D11">
            <v>38722</v>
          </cell>
          <cell r="E11" t="str">
            <v>Master Quality Plan to be prepared</v>
          </cell>
          <cell r="F11" t="str">
            <v>Malini</v>
          </cell>
          <cell r="G11">
            <v>38740</v>
          </cell>
          <cell r="H11">
            <v>38786</v>
          </cell>
          <cell r="J11" t="str">
            <v>closed</v>
          </cell>
        </row>
        <row r="12">
          <cell r="A12" t="str">
            <v>4</v>
          </cell>
          <cell r="B12" t="str">
            <v>Jan</v>
          </cell>
          <cell r="C12" t="str">
            <v xml:space="preserve">A </v>
          </cell>
          <cell r="D12">
            <v>38722</v>
          </cell>
          <cell r="E12" t="str">
            <v>Master Quality Plan to be prepared incl. Environment activities</v>
          </cell>
          <cell r="F12" t="str">
            <v>Anjali</v>
          </cell>
          <cell r="G12">
            <v>38740</v>
          </cell>
          <cell r="H12">
            <v>38786</v>
          </cell>
          <cell r="J12" t="str">
            <v>closed</v>
          </cell>
          <cell r="K12" t="str">
            <v>100%</v>
          </cell>
        </row>
        <row r="13">
          <cell r="A13" t="str">
            <v>5</v>
          </cell>
          <cell r="B13" t="str">
            <v>Jan</v>
          </cell>
          <cell r="C13" t="str">
            <v xml:space="preserve">A </v>
          </cell>
          <cell r="D13">
            <v>38722</v>
          </cell>
          <cell r="E13" t="str">
            <v>Quality Objectives draft for 2006 to be prepared</v>
          </cell>
          <cell r="F13" t="str">
            <v>Malini</v>
          </cell>
          <cell r="G13">
            <v>38740</v>
          </cell>
          <cell r="H13">
            <v>38786</v>
          </cell>
          <cell r="I13">
            <v>38803</v>
          </cell>
          <cell r="J13" t="str">
            <v>closed</v>
          </cell>
          <cell r="K13" t="str">
            <v>100%</v>
          </cell>
        </row>
        <row r="14">
          <cell r="A14" t="str">
            <v>6</v>
          </cell>
          <cell r="B14" t="str">
            <v>Jan</v>
          </cell>
          <cell r="C14" t="str">
            <v xml:space="preserve">A </v>
          </cell>
          <cell r="D14">
            <v>38722</v>
          </cell>
          <cell r="E14" t="str">
            <v>Environment Objectives for 2006 to be finalized</v>
          </cell>
          <cell r="F14" t="str">
            <v>Anjali</v>
          </cell>
          <cell r="G14">
            <v>38740</v>
          </cell>
          <cell r="H14">
            <v>38786</v>
          </cell>
          <cell r="J14" t="str">
            <v>Open</v>
          </cell>
          <cell r="K14" t="str">
            <v xml:space="preserve"> </v>
          </cell>
        </row>
        <row r="15">
          <cell r="A15" t="str">
            <v>7</v>
          </cell>
          <cell r="B15" t="str">
            <v>Jan</v>
          </cell>
          <cell r="C15" t="str">
            <v xml:space="preserve">A </v>
          </cell>
          <cell r="D15">
            <v>38723</v>
          </cell>
          <cell r="E15" t="str">
            <v>Annex V Implementation Road Map to be prepared</v>
          </cell>
          <cell r="F15" t="str">
            <v>Malini</v>
          </cell>
          <cell r="G15">
            <v>38723</v>
          </cell>
          <cell r="H15" t="str">
            <v>--</v>
          </cell>
          <cell r="I15">
            <v>38723</v>
          </cell>
          <cell r="J15" t="str">
            <v>Closed</v>
          </cell>
          <cell r="K15" t="str">
            <v>100%</v>
          </cell>
        </row>
        <row r="16">
          <cell r="A16" t="str">
            <v>8</v>
          </cell>
          <cell r="B16" t="str">
            <v>Jan</v>
          </cell>
          <cell r="C16" t="str">
            <v xml:space="preserve">A </v>
          </cell>
          <cell r="D16">
            <v>38723</v>
          </cell>
          <cell r="E16" t="str">
            <v>NSR 8D reports to be send to Management</v>
          </cell>
          <cell r="F16" t="str">
            <v>Sukhvinder</v>
          </cell>
          <cell r="G16">
            <v>38724</v>
          </cell>
          <cell r="H16" t="str">
            <v>--</v>
          </cell>
          <cell r="I16">
            <v>38727</v>
          </cell>
          <cell r="J16" t="str">
            <v>Closed</v>
          </cell>
          <cell r="K16" t="str">
            <v>100%</v>
          </cell>
        </row>
        <row r="17">
          <cell r="A17" t="str">
            <v>9</v>
          </cell>
          <cell r="B17" t="str">
            <v>Jan</v>
          </cell>
          <cell r="C17" t="str">
            <v xml:space="preserve">A </v>
          </cell>
          <cell r="D17">
            <v>38723</v>
          </cell>
          <cell r="E17" t="str">
            <v>RoHS Road Map  to be revised</v>
          </cell>
          <cell r="F17" t="str">
            <v>Anjali</v>
          </cell>
          <cell r="G17">
            <v>38727</v>
          </cell>
          <cell r="H17" t="str">
            <v>--</v>
          </cell>
          <cell r="I17">
            <v>38728</v>
          </cell>
          <cell r="J17" t="str">
            <v>Closed</v>
          </cell>
          <cell r="K17">
            <v>1</v>
          </cell>
        </row>
        <row r="18">
          <cell r="A18" t="str">
            <v>10</v>
          </cell>
          <cell r="B18" t="str">
            <v>Jan</v>
          </cell>
          <cell r="C18" t="str">
            <v xml:space="preserve">A </v>
          </cell>
          <cell r="D18">
            <v>38726</v>
          </cell>
          <cell r="E18" t="str">
            <v>Compile salcomp presentations as per the given checklist</v>
          </cell>
          <cell r="F18" t="str">
            <v>Devang</v>
          </cell>
          <cell r="G18">
            <v>38727</v>
          </cell>
          <cell r="H18" t="str">
            <v>--</v>
          </cell>
          <cell r="J18" t="str">
            <v>Closed</v>
          </cell>
          <cell r="K18" t="str">
            <v>100%</v>
          </cell>
        </row>
        <row r="19">
          <cell r="A19" t="str">
            <v>11</v>
          </cell>
          <cell r="B19" t="str">
            <v>Jan</v>
          </cell>
          <cell r="C19" t="str">
            <v xml:space="preserve">A </v>
          </cell>
          <cell r="D19">
            <v>38726</v>
          </cell>
          <cell r="E19" t="str">
            <v>OPIX Self assessment to be done for the identified group.</v>
          </cell>
          <cell r="F19" t="str">
            <v>Malini</v>
          </cell>
          <cell r="G19">
            <v>38729</v>
          </cell>
          <cell r="H19" t="str">
            <v>--</v>
          </cell>
          <cell r="I19">
            <v>38729</v>
          </cell>
          <cell r="J19" t="str">
            <v>Closed</v>
          </cell>
          <cell r="K19" t="str">
            <v>100%</v>
          </cell>
        </row>
        <row r="20">
          <cell r="A20" t="str">
            <v>12</v>
          </cell>
          <cell r="B20" t="str">
            <v>Jan</v>
          </cell>
          <cell r="C20" t="str">
            <v xml:space="preserve">A </v>
          </cell>
          <cell r="D20">
            <v>38726</v>
          </cell>
          <cell r="E20" t="str">
            <v>OPIX overall implementation to be done</v>
          </cell>
          <cell r="F20" t="str">
            <v>Malini</v>
          </cell>
          <cell r="G20">
            <v>38730</v>
          </cell>
          <cell r="H20" t="str">
            <v>--</v>
          </cell>
          <cell r="I20">
            <v>38733</v>
          </cell>
          <cell r="J20" t="str">
            <v>Closed</v>
          </cell>
          <cell r="K20" t="str">
            <v>100%</v>
          </cell>
        </row>
        <row r="21">
          <cell r="A21" t="str">
            <v>13</v>
          </cell>
          <cell r="B21" t="str">
            <v>Jan</v>
          </cell>
          <cell r="C21" t="str">
            <v xml:space="preserve">A </v>
          </cell>
          <cell r="D21">
            <v>38727</v>
          </cell>
          <cell r="E21" t="str">
            <v>On-site audit to be performed to ensure compliance with the Salcomp requirements &amp; submit report (Quality system)</v>
          </cell>
          <cell r="F21" t="str">
            <v>Malini</v>
          </cell>
          <cell r="G21">
            <v>38727</v>
          </cell>
          <cell r="H21" t="str">
            <v>--</v>
          </cell>
          <cell r="I21">
            <v>38728</v>
          </cell>
          <cell r="J21" t="str">
            <v>Closed</v>
          </cell>
          <cell r="K21" t="str">
            <v>100%</v>
          </cell>
        </row>
        <row r="22">
          <cell r="A22" t="str">
            <v>14</v>
          </cell>
          <cell r="B22" t="str">
            <v>Jan</v>
          </cell>
          <cell r="C22" t="str">
            <v xml:space="preserve">A </v>
          </cell>
          <cell r="D22">
            <v>38727</v>
          </cell>
          <cell r="E22" t="str">
            <v>On-site audit to be performed to ensure compliance with the Salcomp requirements &amp; submit report (Environment system)</v>
          </cell>
          <cell r="F22" t="str">
            <v>Anjali</v>
          </cell>
          <cell r="G22">
            <v>38727</v>
          </cell>
          <cell r="H22" t="str">
            <v>--</v>
          </cell>
          <cell r="I22">
            <v>38727</v>
          </cell>
          <cell r="J22" t="str">
            <v>Closed</v>
          </cell>
          <cell r="K22">
            <v>1</v>
          </cell>
        </row>
        <row r="23">
          <cell r="A23" t="str">
            <v>15</v>
          </cell>
          <cell r="B23" t="str">
            <v>Jan</v>
          </cell>
          <cell r="C23" t="str">
            <v xml:space="preserve">A </v>
          </cell>
          <cell r="D23">
            <v>38727</v>
          </cell>
          <cell r="E23" t="str">
            <v>On-site audit to be performed to ensure compliance with Document control process</v>
          </cell>
          <cell r="F23" t="str">
            <v>Vasuki</v>
          </cell>
          <cell r="G23">
            <v>38727</v>
          </cell>
          <cell r="H23" t="str">
            <v>--</v>
          </cell>
          <cell r="I23">
            <v>38728</v>
          </cell>
          <cell r="J23" t="str">
            <v>Closed</v>
          </cell>
          <cell r="K23" t="str">
            <v>100%</v>
          </cell>
        </row>
        <row r="24">
          <cell r="A24" t="str">
            <v>16</v>
          </cell>
          <cell r="B24" t="str">
            <v>Jan</v>
          </cell>
          <cell r="C24" t="str">
            <v xml:space="preserve">A </v>
          </cell>
          <cell r="D24">
            <v>38727</v>
          </cell>
          <cell r="E24" t="str">
            <v xml:space="preserve">Preparation for SMP Assessment </v>
          </cell>
          <cell r="F24" t="str">
            <v>Malini</v>
          </cell>
          <cell r="G24">
            <v>38727</v>
          </cell>
          <cell r="I24">
            <v>38728</v>
          </cell>
          <cell r="J24" t="str">
            <v>Closed</v>
          </cell>
          <cell r="K24" t="str">
            <v>100%</v>
          </cell>
        </row>
        <row r="25">
          <cell r="A25" t="str">
            <v>17</v>
          </cell>
          <cell r="B25" t="str">
            <v>Jan</v>
          </cell>
          <cell r="C25" t="str">
            <v xml:space="preserve">A </v>
          </cell>
          <cell r="D25">
            <v>38727</v>
          </cell>
          <cell r="E25" t="str">
            <v>QMS Performance display Updation for Dec- 2005</v>
          </cell>
          <cell r="F25" t="str">
            <v>Malini</v>
          </cell>
          <cell r="G25">
            <v>38727</v>
          </cell>
          <cell r="H25" t="str">
            <v>--</v>
          </cell>
          <cell r="I25">
            <v>38727</v>
          </cell>
          <cell r="J25" t="str">
            <v>Closed</v>
          </cell>
          <cell r="K25" t="str">
            <v>100%</v>
          </cell>
        </row>
        <row r="26">
          <cell r="A26" t="str">
            <v>18</v>
          </cell>
          <cell r="B26" t="str">
            <v>Jan</v>
          </cell>
          <cell r="C26" t="str">
            <v xml:space="preserve">A </v>
          </cell>
          <cell r="D26">
            <v>38727</v>
          </cell>
          <cell r="E26" t="str">
            <v>EMS Performance display Updation for Dec- 2005</v>
          </cell>
          <cell r="F26" t="str">
            <v>Anjali</v>
          </cell>
          <cell r="G26">
            <v>38727</v>
          </cell>
          <cell r="H26" t="str">
            <v>--</v>
          </cell>
          <cell r="I26">
            <v>38727</v>
          </cell>
          <cell r="J26" t="str">
            <v>Closed</v>
          </cell>
          <cell r="K26">
            <v>1</v>
          </cell>
        </row>
        <row r="27">
          <cell r="A27" t="str">
            <v>19</v>
          </cell>
          <cell r="B27" t="str">
            <v>Jan</v>
          </cell>
          <cell r="C27" t="str">
            <v xml:space="preserve">A </v>
          </cell>
          <cell r="D27">
            <v>38728</v>
          </cell>
          <cell r="E27" t="str">
            <v>Customer aduits CAPA summary report to be prepared having detailed information on commitment dates &amp; follow up actions</v>
          </cell>
          <cell r="F27" t="str">
            <v>Devang</v>
          </cell>
          <cell r="G27">
            <v>38733</v>
          </cell>
          <cell r="H27" t="str">
            <v>--</v>
          </cell>
          <cell r="J27" t="str">
            <v>closed</v>
          </cell>
          <cell r="K27" t="str">
            <v>100%</v>
          </cell>
        </row>
        <row r="28">
          <cell r="A28" t="str">
            <v>20</v>
          </cell>
          <cell r="B28" t="str">
            <v>Jan</v>
          </cell>
          <cell r="C28" t="str">
            <v>A</v>
          </cell>
          <cell r="D28">
            <v>38733</v>
          </cell>
          <cell r="E28" t="str">
            <v>QOS Access permission list to be updated &amp; send to Andrew</v>
          </cell>
          <cell r="F28" t="str">
            <v>Malini</v>
          </cell>
          <cell r="G28">
            <v>38734</v>
          </cell>
          <cell r="H28" t="str">
            <v>--</v>
          </cell>
          <cell r="I28">
            <v>38736</v>
          </cell>
          <cell r="J28" t="str">
            <v>closed</v>
          </cell>
          <cell r="K28" t="str">
            <v>100%</v>
          </cell>
        </row>
        <row r="29">
          <cell r="A29" t="str">
            <v>21</v>
          </cell>
          <cell r="B29" t="str">
            <v>Jan</v>
          </cell>
          <cell r="C29" t="str">
            <v>A</v>
          </cell>
          <cell r="D29">
            <v>38733</v>
          </cell>
          <cell r="E29" t="str">
            <v>Calender (WW, Start-End of month) to be finalyzed</v>
          </cell>
          <cell r="F29" t="str">
            <v>Malini</v>
          </cell>
          <cell r="G29">
            <v>38735</v>
          </cell>
          <cell r="H29" t="str">
            <v>--</v>
          </cell>
          <cell r="I29">
            <v>38735</v>
          </cell>
          <cell r="J29" t="str">
            <v>closed</v>
          </cell>
          <cell r="K29" t="str">
            <v>100%</v>
          </cell>
        </row>
        <row r="30">
          <cell r="A30" t="str">
            <v>22</v>
          </cell>
          <cell r="B30" t="str">
            <v>Jan</v>
          </cell>
          <cell r="C30" t="str">
            <v>A</v>
          </cell>
          <cell r="D30">
            <v>38733</v>
          </cell>
          <cell r="E30" t="str">
            <v>QOS effective implementation plan to be drafted</v>
          </cell>
          <cell r="F30" t="str">
            <v>Malini</v>
          </cell>
          <cell r="G30">
            <v>38736</v>
          </cell>
          <cell r="I30">
            <v>38736</v>
          </cell>
          <cell r="J30" t="str">
            <v>closed</v>
          </cell>
          <cell r="K30" t="str">
            <v xml:space="preserve"> </v>
          </cell>
        </row>
        <row r="31">
          <cell r="A31" t="str">
            <v>23</v>
          </cell>
          <cell r="B31" t="str">
            <v>Jan</v>
          </cell>
          <cell r="C31" t="str">
            <v>A</v>
          </cell>
          <cell r="D31">
            <v>38733</v>
          </cell>
          <cell r="E31" t="str">
            <v>Salcomp 8D reports to be prepared for all the findings.</v>
          </cell>
          <cell r="F31" t="str">
            <v>Devang</v>
          </cell>
          <cell r="G31">
            <v>38737</v>
          </cell>
          <cell r="H31" t="str">
            <v>--</v>
          </cell>
          <cell r="J31" t="str">
            <v>closed</v>
          </cell>
          <cell r="K31" t="str">
            <v xml:space="preserve"> </v>
          </cell>
        </row>
        <row r="32">
          <cell r="A32" t="str">
            <v>24</v>
          </cell>
          <cell r="B32" t="str">
            <v>Jan</v>
          </cell>
          <cell r="C32" t="str">
            <v>A</v>
          </cell>
          <cell r="D32">
            <v>38733</v>
          </cell>
          <cell r="E32" t="str">
            <v>DNV 8D reports (ACTION ITEMS) to be closed</v>
          </cell>
          <cell r="F32" t="str">
            <v>Anjali</v>
          </cell>
          <cell r="G32">
            <v>38737</v>
          </cell>
          <cell r="H32" t="str">
            <v>--</v>
          </cell>
          <cell r="I32">
            <v>38744</v>
          </cell>
          <cell r="J32" t="str">
            <v>closed</v>
          </cell>
          <cell r="K32">
            <v>1</v>
          </cell>
        </row>
        <row r="33">
          <cell r="A33" t="str">
            <v>25</v>
          </cell>
          <cell r="B33" t="str">
            <v>Jan</v>
          </cell>
          <cell r="C33" t="str">
            <v>A</v>
          </cell>
          <cell r="D33">
            <v>38733</v>
          </cell>
          <cell r="E33" t="str">
            <v>CSI Results to be communicated to all PL, MFG , QA Team &amp; Action plan for Q4-2005 Survey results has to be closed</v>
          </cell>
          <cell r="F33" t="str">
            <v>Devang</v>
          </cell>
          <cell r="G33">
            <v>38737</v>
          </cell>
          <cell r="H33" t="str">
            <v>--</v>
          </cell>
          <cell r="J33" t="str">
            <v>closed</v>
          </cell>
          <cell r="K33" t="str">
            <v>100%</v>
          </cell>
        </row>
        <row r="34">
          <cell r="A34" t="str">
            <v>26</v>
          </cell>
          <cell r="B34" t="str">
            <v>Jan</v>
          </cell>
          <cell r="C34" t="str">
            <v>A</v>
          </cell>
          <cell r="D34">
            <v>38733</v>
          </cell>
          <cell r="E34" t="str">
            <v>Training Plan for 2006 to be submitted to Sukhvinder</v>
          </cell>
          <cell r="F34" t="str">
            <v>Malini</v>
          </cell>
          <cell r="G34">
            <v>38740</v>
          </cell>
          <cell r="H34">
            <v>38786</v>
          </cell>
          <cell r="I34">
            <v>38803</v>
          </cell>
          <cell r="J34" t="str">
            <v>closed</v>
          </cell>
          <cell r="K34" t="str">
            <v xml:space="preserve"> </v>
          </cell>
        </row>
        <row r="35">
          <cell r="A35" t="str">
            <v>27</v>
          </cell>
          <cell r="B35" t="str">
            <v>Jan</v>
          </cell>
          <cell r="C35" t="str">
            <v>A</v>
          </cell>
          <cell r="D35">
            <v>38733</v>
          </cell>
          <cell r="E35" t="str">
            <v>Training Plan for 2006 to be submitted to Sukhvinder</v>
          </cell>
          <cell r="F35" t="str">
            <v>Anjali</v>
          </cell>
          <cell r="G35">
            <v>38740</v>
          </cell>
          <cell r="H35">
            <v>38777</v>
          </cell>
          <cell r="J35" t="str">
            <v>closed</v>
          </cell>
          <cell r="K35" t="str">
            <v xml:space="preserve"> </v>
          </cell>
        </row>
        <row r="36">
          <cell r="A36" t="str">
            <v>28</v>
          </cell>
          <cell r="B36" t="str">
            <v>Jan</v>
          </cell>
          <cell r="C36" t="str">
            <v>A</v>
          </cell>
          <cell r="D36">
            <v>38733</v>
          </cell>
          <cell r="E36" t="str">
            <v>Training Plan for 2006 to be submitted to Sukhvinder</v>
          </cell>
          <cell r="F36" t="str">
            <v>Vasuki</v>
          </cell>
          <cell r="G36">
            <v>38740</v>
          </cell>
          <cell r="H36">
            <v>38775</v>
          </cell>
          <cell r="J36" t="str">
            <v>closed</v>
          </cell>
          <cell r="K36" t="str">
            <v xml:space="preserve"> </v>
          </cell>
        </row>
        <row r="37">
          <cell r="A37" t="str">
            <v>29</v>
          </cell>
          <cell r="B37" t="str">
            <v>Jan</v>
          </cell>
          <cell r="C37" t="str">
            <v>A</v>
          </cell>
          <cell r="D37">
            <v>38733</v>
          </cell>
          <cell r="E37" t="str">
            <v>Training Plan for 2006 to be submitted to Sukhvinder</v>
          </cell>
          <cell r="F37" t="str">
            <v>Devang</v>
          </cell>
          <cell r="G37">
            <v>38740</v>
          </cell>
          <cell r="H37">
            <v>38786</v>
          </cell>
          <cell r="J37" t="str">
            <v>Open</v>
          </cell>
          <cell r="K37" t="str">
            <v xml:space="preserve"> </v>
          </cell>
        </row>
        <row r="38">
          <cell r="A38" t="str">
            <v>30</v>
          </cell>
          <cell r="B38" t="str">
            <v>Jan</v>
          </cell>
          <cell r="C38" t="str">
            <v>A</v>
          </cell>
          <cell r="D38">
            <v>38733</v>
          </cell>
          <cell r="E38" t="str">
            <v>Customer data base to be prepared which has all the information on assessments, documents submitted, 8D reports, etc</v>
          </cell>
          <cell r="F38" t="str">
            <v>Devang</v>
          </cell>
          <cell r="G38">
            <v>38740</v>
          </cell>
          <cell r="J38" t="str">
            <v>closed</v>
          </cell>
          <cell r="K38" t="str">
            <v xml:space="preserve"> </v>
          </cell>
        </row>
        <row r="39">
          <cell r="A39" t="str">
            <v>31</v>
          </cell>
          <cell r="B39" t="str">
            <v>Jan</v>
          </cell>
          <cell r="C39" t="str">
            <v>A</v>
          </cell>
          <cell r="D39">
            <v>38734</v>
          </cell>
          <cell r="E39" t="str">
            <v>MS Project training to be organized for QA team &amp; the MS project has to be installed for all the PC (QA Dept)</v>
          </cell>
          <cell r="F39" t="str">
            <v>Devang</v>
          </cell>
          <cell r="G39">
            <v>38744</v>
          </cell>
          <cell r="J39" t="str">
            <v>closed</v>
          </cell>
          <cell r="K39" t="str">
            <v xml:space="preserve"> </v>
          </cell>
        </row>
        <row r="40">
          <cell r="A40" t="str">
            <v>32</v>
          </cell>
          <cell r="B40" t="str">
            <v>Jan</v>
          </cell>
          <cell r="C40" t="str">
            <v>A</v>
          </cell>
          <cell r="D40">
            <v>38734</v>
          </cell>
          <cell r="E40" t="str">
            <v>RoHS Road Map review on daily basis for monitoring the progress</v>
          </cell>
          <cell r="F40" t="str">
            <v>Sukhvinder</v>
          </cell>
          <cell r="G40">
            <v>38807</v>
          </cell>
          <cell r="J40" t="str">
            <v>closed</v>
          </cell>
          <cell r="K40" t="str">
            <v xml:space="preserve"> </v>
          </cell>
        </row>
        <row r="41">
          <cell r="A41" t="str">
            <v>33</v>
          </cell>
          <cell r="B41" t="str">
            <v>Jan</v>
          </cell>
          <cell r="C41" t="str">
            <v>A</v>
          </cell>
          <cell r="D41">
            <v>38734</v>
          </cell>
          <cell r="E41" t="str">
            <v>Annex V Road Map review on daily basis for monitoring the progress.</v>
          </cell>
          <cell r="F41" t="str">
            <v>Sukhvinder</v>
          </cell>
          <cell r="G41">
            <v>38898</v>
          </cell>
          <cell r="J41" t="str">
            <v>closed</v>
          </cell>
          <cell r="K41" t="str">
            <v xml:space="preserve"> </v>
          </cell>
        </row>
        <row r="42">
          <cell r="A42" t="str">
            <v>34</v>
          </cell>
          <cell r="B42" t="str">
            <v>Jan</v>
          </cell>
          <cell r="C42" t="str">
            <v>A</v>
          </cell>
          <cell r="D42">
            <v>38735</v>
          </cell>
          <cell r="E42" t="str">
            <v xml:space="preserve">Mail to be send to CIP members on CIP Registration for Q1 </v>
          </cell>
          <cell r="F42" t="str">
            <v>Malini</v>
          </cell>
          <cell r="G42">
            <v>38735</v>
          </cell>
          <cell r="I42">
            <v>38735</v>
          </cell>
          <cell r="J42" t="str">
            <v>closed</v>
          </cell>
          <cell r="K42" t="str">
            <v>100%</v>
          </cell>
        </row>
        <row r="43">
          <cell r="A43" t="str">
            <v>35</v>
          </cell>
          <cell r="B43" t="str">
            <v>Jan</v>
          </cell>
          <cell r="C43" t="str">
            <v>A</v>
          </cell>
          <cell r="D43">
            <v>38737</v>
          </cell>
          <cell r="E43" t="str">
            <v>Quality Plan for QTC to be prepared</v>
          </cell>
          <cell r="F43" t="str">
            <v>Devang</v>
          </cell>
          <cell r="G43">
            <v>38740</v>
          </cell>
          <cell r="H43">
            <v>38786</v>
          </cell>
          <cell r="J43" t="str">
            <v>closed</v>
          </cell>
          <cell r="K43" t="str">
            <v xml:space="preserve"> </v>
          </cell>
        </row>
        <row r="44">
          <cell r="A44" t="str">
            <v>36</v>
          </cell>
          <cell r="B44" t="str">
            <v>Jan</v>
          </cell>
          <cell r="C44" t="str">
            <v>A</v>
          </cell>
          <cell r="D44">
            <v>38737</v>
          </cell>
          <cell r="E44" t="str">
            <v>Quality Plan for Product Quality &amp; Reliabiity  to be prepared</v>
          </cell>
          <cell r="F44" t="str">
            <v>Malini</v>
          </cell>
          <cell r="G44">
            <v>38740</v>
          </cell>
          <cell r="H44">
            <v>38748</v>
          </cell>
          <cell r="J44" t="str">
            <v>closed</v>
          </cell>
          <cell r="K44" t="str">
            <v>100%</v>
          </cell>
        </row>
        <row r="45">
          <cell r="A45" t="str">
            <v>37</v>
          </cell>
          <cell r="B45" t="str">
            <v>Jan</v>
          </cell>
          <cell r="C45" t="str">
            <v>A</v>
          </cell>
          <cell r="D45">
            <v>38737</v>
          </cell>
          <cell r="E45" t="str">
            <v>CIP Registration for Q1 - Follow up &amp; get at the min 5 CIP registered for Q1</v>
          </cell>
          <cell r="F45" t="str">
            <v>Devang</v>
          </cell>
          <cell r="G45">
            <v>38740</v>
          </cell>
          <cell r="J45" t="str">
            <v>closed</v>
          </cell>
        </row>
        <row r="46">
          <cell r="A46" t="str">
            <v>38</v>
          </cell>
          <cell r="B46" t="str">
            <v>Jan</v>
          </cell>
          <cell r="C46" t="str">
            <v>A</v>
          </cell>
          <cell r="D46">
            <v>38737</v>
          </cell>
          <cell r="E46" t="str">
            <v>CAPA Summary list to be modified to include Response time in the format</v>
          </cell>
          <cell r="F46" t="str">
            <v>Malini</v>
          </cell>
          <cell r="G46">
            <v>38741</v>
          </cell>
          <cell r="H46" t="str">
            <v>-</v>
          </cell>
          <cell r="I46">
            <v>38741</v>
          </cell>
          <cell r="J46" t="str">
            <v>closed</v>
          </cell>
          <cell r="K46" t="str">
            <v>100%</v>
          </cell>
        </row>
        <row r="47">
          <cell r="A47" t="str">
            <v>39</v>
          </cell>
          <cell r="B47" t="str">
            <v>Jan</v>
          </cell>
          <cell r="C47" t="str">
            <v>A</v>
          </cell>
          <cell r="D47">
            <v>38737</v>
          </cell>
          <cell r="E47" t="str">
            <v>CAPA Summary to be prepared for 2006 &amp; also the CAPA for 2005 &amp; 2006 to be linked to QOS</v>
          </cell>
          <cell r="F47" t="str">
            <v>Malini</v>
          </cell>
          <cell r="G47">
            <v>38741</v>
          </cell>
          <cell r="H47" t="str">
            <v>-</v>
          </cell>
          <cell r="I47">
            <v>38741</v>
          </cell>
          <cell r="J47" t="str">
            <v>closed</v>
          </cell>
          <cell r="K47" t="str">
            <v>100%</v>
          </cell>
        </row>
        <row r="48">
          <cell r="A48" t="str">
            <v>40</v>
          </cell>
          <cell r="B48" t="str">
            <v>Jan</v>
          </cell>
          <cell r="C48" t="str">
            <v>A</v>
          </cell>
          <cell r="D48">
            <v>38737</v>
          </cell>
          <cell r="E48" t="str">
            <v>Masterlist of QOS reports (Function wise) with clear rules of Updation freq with report Owners to be prepared</v>
          </cell>
          <cell r="F48" t="str">
            <v>Malini</v>
          </cell>
          <cell r="G48">
            <v>38768</v>
          </cell>
          <cell r="J48" t="str">
            <v>Open</v>
          </cell>
          <cell r="K48" t="str">
            <v xml:space="preserve"> </v>
          </cell>
        </row>
        <row r="49">
          <cell r="A49" t="str">
            <v>41</v>
          </cell>
          <cell r="B49" t="str">
            <v>Jan</v>
          </cell>
          <cell r="C49" t="str">
            <v>A</v>
          </cell>
          <cell r="D49">
            <v>38737</v>
          </cell>
          <cell r="E49" t="str">
            <v>SMP Qtly (QSMP) Meeting  Preparations</v>
          </cell>
          <cell r="F49" t="str">
            <v>Sukhvinder</v>
          </cell>
          <cell r="G49">
            <v>38744</v>
          </cell>
          <cell r="H49" t="str">
            <v>--</v>
          </cell>
          <cell r="I49">
            <v>38744</v>
          </cell>
          <cell r="J49" t="str">
            <v>closed</v>
          </cell>
          <cell r="K49" t="str">
            <v>100%</v>
          </cell>
        </row>
        <row r="50">
          <cell r="A50" t="str">
            <v>42</v>
          </cell>
          <cell r="B50" t="str">
            <v>Jan</v>
          </cell>
          <cell r="C50" t="str">
            <v>A</v>
          </cell>
          <cell r="D50">
            <v>38737</v>
          </cell>
          <cell r="E50" t="str">
            <v>QOS Audit Checklist to be prepared</v>
          </cell>
          <cell r="F50" t="str">
            <v>Malini</v>
          </cell>
          <cell r="G50">
            <v>38776</v>
          </cell>
          <cell r="J50" t="str">
            <v>Open</v>
          </cell>
        </row>
        <row r="51">
          <cell r="A51" t="str">
            <v>43</v>
          </cell>
          <cell r="B51" t="str">
            <v>Jan</v>
          </cell>
          <cell r="C51" t="str">
            <v>A</v>
          </cell>
          <cell r="D51">
            <v>38740</v>
          </cell>
          <cell r="E51" t="str">
            <v>Nokia Preparations for today (Corrective actions)</v>
          </cell>
          <cell r="F51" t="str">
            <v>Devang</v>
          </cell>
          <cell r="G51">
            <v>38740</v>
          </cell>
          <cell r="H51" t="str">
            <v>--</v>
          </cell>
          <cell r="I51">
            <v>38740</v>
          </cell>
          <cell r="J51" t="str">
            <v>closed</v>
          </cell>
          <cell r="K51" t="str">
            <v>100%</v>
          </cell>
        </row>
        <row r="52">
          <cell r="A52" t="str">
            <v>44</v>
          </cell>
          <cell r="B52" t="str">
            <v>Jan</v>
          </cell>
          <cell r="C52" t="str">
            <v>A</v>
          </cell>
          <cell r="D52">
            <v>38740</v>
          </cell>
          <cell r="E52" t="str">
            <v>Opix Monthly reporting plan to be prepared inclusive of all the activities invlolved the final reporting on 5th of every month</v>
          </cell>
          <cell r="F52" t="str">
            <v>Malini</v>
          </cell>
          <cell r="G52">
            <v>38741</v>
          </cell>
          <cell r="H52" t="str">
            <v>--</v>
          </cell>
          <cell r="I52">
            <v>38741</v>
          </cell>
          <cell r="J52" t="str">
            <v>closed</v>
          </cell>
        </row>
        <row r="53">
          <cell r="A53" t="str">
            <v>45</v>
          </cell>
          <cell r="B53" t="str">
            <v>Jan</v>
          </cell>
          <cell r="C53" t="str">
            <v>A</v>
          </cell>
          <cell r="D53">
            <v>38747</v>
          </cell>
          <cell r="E53" t="str">
            <v>SA8000 Planning &amp; execution.</v>
          </cell>
          <cell r="F53" t="str">
            <v>Devang</v>
          </cell>
          <cell r="G53">
            <v>38761</v>
          </cell>
          <cell r="J53" t="str">
            <v>closed</v>
          </cell>
        </row>
        <row r="54">
          <cell r="A54" t="str">
            <v>46</v>
          </cell>
          <cell r="B54" t="str">
            <v>Jan</v>
          </cell>
          <cell r="C54" t="str">
            <v>A</v>
          </cell>
          <cell r="D54">
            <v>38747</v>
          </cell>
          <cell r="E54" t="str">
            <v>Internal Customer satisfaction survey plan to be prepared (frequency to be decided )</v>
          </cell>
          <cell r="F54" t="str">
            <v>Malini</v>
          </cell>
          <cell r="G54">
            <v>38755</v>
          </cell>
          <cell r="I54">
            <v>38763</v>
          </cell>
          <cell r="J54" t="str">
            <v>closed</v>
          </cell>
        </row>
        <row r="55">
          <cell r="A55" t="str">
            <v>47</v>
          </cell>
          <cell r="B55" t="str">
            <v>Jan</v>
          </cell>
          <cell r="C55" t="str">
            <v>A</v>
          </cell>
          <cell r="D55">
            <v>38747</v>
          </cell>
          <cell r="E55" t="str">
            <v xml:space="preserve">Customer Report standardization </v>
          </cell>
          <cell r="F55" t="str">
            <v>Devang</v>
          </cell>
          <cell r="G55">
            <v>38791</v>
          </cell>
          <cell r="J55" t="str">
            <v>Open</v>
          </cell>
        </row>
        <row r="56">
          <cell r="A56" t="str">
            <v>48</v>
          </cell>
          <cell r="B56" t="str">
            <v>Jan</v>
          </cell>
          <cell r="C56" t="str">
            <v>A</v>
          </cell>
          <cell r="D56">
            <v>38747</v>
          </cell>
          <cell r="E56" t="str">
            <v>Guidelines for CAPA updation to be prepared</v>
          </cell>
          <cell r="F56" t="str">
            <v>Malini</v>
          </cell>
          <cell r="G56">
            <v>38758</v>
          </cell>
          <cell r="H56">
            <v>38777</v>
          </cell>
          <cell r="J56" t="str">
            <v>closed</v>
          </cell>
        </row>
        <row r="57">
          <cell r="A57" t="str">
            <v>49</v>
          </cell>
          <cell r="B57" t="str">
            <v>Jan</v>
          </cell>
          <cell r="C57" t="str">
            <v>A</v>
          </cell>
          <cell r="D57">
            <v>38747</v>
          </cell>
          <cell r="E57" t="str">
            <v xml:space="preserve">Review of Quality Master plan </v>
          </cell>
          <cell r="F57" t="str">
            <v>Sukhvinder</v>
          </cell>
          <cell r="G57">
            <v>38751</v>
          </cell>
          <cell r="J57" t="str">
            <v>closed</v>
          </cell>
        </row>
        <row r="58">
          <cell r="A58" t="str">
            <v>50</v>
          </cell>
          <cell r="B58" t="str">
            <v>Jan</v>
          </cell>
          <cell r="C58" t="str">
            <v>A</v>
          </cell>
          <cell r="D58">
            <v>38748</v>
          </cell>
          <cell r="E58" t="str">
            <v>SA 8000 kick off Meeting</v>
          </cell>
          <cell r="F58" t="str">
            <v>Devang</v>
          </cell>
          <cell r="G58">
            <v>38756</v>
          </cell>
          <cell r="H58">
            <v>38758</v>
          </cell>
          <cell r="I58">
            <v>38758</v>
          </cell>
          <cell r="J58" t="str">
            <v>closed</v>
          </cell>
        </row>
        <row r="59">
          <cell r="A59" t="str">
            <v>51</v>
          </cell>
          <cell r="B59" t="str">
            <v>Jan</v>
          </cell>
          <cell r="C59" t="str">
            <v>A</v>
          </cell>
          <cell r="D59">
            <v>38748</v>
          </cell>
          <cell r="E59" t="str">
            <v xml:space="preserve">SA 8000 Road map to be put in DMM file for daily review </v>
          </cell>
          <cell r="F59" t="str">
            <v>Devang</v>
          </cell>
          <cell r="G59">
            <v>38749</v>
          </cell>
          <cell r="I59">
            <v>38758</v>
          </cell>
          <cell r="J59" t="str">
            <v>closed</v>
          </cell>
        </row>
        <row r="60">
          <cell r="A60" t="str">
            <v>52</v>
          </cell>
          <cell r="B60" t="str">
            <v>Feb</v>
          </cell>
          <cell r="C60" t="str">
            <v>A</v>
          </cell>
          <cell r="D60">
            <v>38749</v>
          </cell>
          <cell r="E60" t="str">
            <v>Calendar to be modified with days of the month for DMM.</v>
          </cell>
          <cell r="F60" t="str">
            <v>Malini</v>
          </cell>
          <cell r="G60">
            <v>38750</v>
          </cell>
          <cell r="J60" t="str">
            <v>closed</v>
          </cell>
        </row>
        <row r="61">
          <cell r="A61" t="str">
            <v>53</v>
          </cell>
          <cell r="B61" t="str">
            <v>Feb</v>
          </cell>
          <cell r="C61" t="str">
            <v>A</v>
          </cell>
          <cell r="D61">
            <v>38749</v>
          </cell>
          <cell r="E61" t="str">
            <v>Pt.s No. 23, 30 and 37 of DMM Action Plan tracking sheet  to be closed immediately</v>
          </cell>
          <cell r="F61" t="str">
            <v>Devang</v>
          </cell>
          <cell r="G61">
            <v>38749</v>
          </cell>
          <cell r="J61" t="str">
            <v>closed</v>
          </cell>
        </row>
        <row r="62">
          <cell r="A62" t="str">
            <v>54</v>
          </cell>
          <cell r="B62" t="str">
            <v>Feb</v>
          </cell>
          <cell r="C62" t="str">
            <v>A</v>
          </cell>
          <cell r="D62">
            <v>38749</v>
          </cell>
          <cell r="E62" t="str">
            <v>Study on ICS and plan to be prepared. Should include frequency of Survey. If planned for Q1, suggesion related to lead time for preparation, sending, receipt etc.</v>
          </cell>
          <cell r="F62" t="str">
            <v>Malini</v>
          </cell>
          <cell r="G62">
            <v>38755</v>
          </cell>
          <cell r="H62">
            <v>38776</v>
          </cell>
          <cell r="J62" t="str">
            <v>closed</v>
          </cell>
        </row>
        <row r="63">
          <cell r="A63" t="str">
            <v>55</v>
          </cell>
          <cell r="B63" t="str">
            <v>Feb</v>
          </cell>
          <cell r="C63" t="str">
            <v>A</v>
          </cell>
          <cell r="D63">
            <v>38749</v>
          </cell>
          <cell r="E63" t="str">
            <v>Sheets for daily updation on ongoing projects to be included in the DMM action plan tracker</v>
          </cell>
          <cell r="F63" t="str">
            <v>Anjali</v>
          </cell>
          <cell r="G63">
            <v>38749</v>
          </cell>
          <cell r="I63">
            <v>38749</v>
          </cell>
          <cell r="J63" t="str">
            <v>closed</v>
          </cell>
        </row>
        <row r="64">
          <cell r="A64" t="str">
            <v>56</v>
          </cell>
          <cell r="B64" t="str">
            <v>Feb</v>
          </cell>
          <cell r="C64" t="str">
            <v>A</v>
          </cell>
          <cell r="D64">
            <v>38749</v>
          </cell>
          <cell r="E64" t="str">
            <v>Format on homogeneous and non-homogeneous parts of components for N NET for the RoHS project</v>
          </cell>
          <cell r="F64" t="str">
            <v>Anjali</v>
          </cell>
          <cell r="G64">
            <v>38749</v>
          </cell>
          <cell r="I64">
            <v>38749</v>
          </cell>
          <cell r="J64" t="str">
            <v>closed</v>
          </cell>
        </row>
        <row r="65">
          <cell r="A65" t="str">
            <v>57</v>
          </cell>
          <cell r="B65" t="str">
            <v>Feb</v>
          </cell>
          <cell r="C65" t="str">
            <v>A</v>
          </cell>
          <cell r="D65">
            <v>38749</v>
          </cell>
          <cell r="E65" t="str">
            <v>Proposal on the contents of the Technical file for RoHS project</v>
          </cell>
          <cell r="F65" t="str">
            <v>Anjali</v>
          </cell>
          <cell r="G65">
            <v>38749</v>
          </cell>
          <cell r="H65">
            <v>38807</v>
          </cell>
          <cell r="J65" t="str">
            <v>Open</v>
          </cell>
        </row>
        <row r="66">
          <cell r="A66" t="str">
            <v>58</v>
          </cell>
          <cell r="B66" t="str">
            <v>Feb</v>
          </cell>
          <cell r="C66" t="str">
            <v>A</v>
          </cell>
          <cell r="D66">
            <v>38749</v>
          </cell>
          <cell r="E66" t="str">
            <v>Discussion with Sukhvinder on the D/SCM related processes for RoHS compliance</v>
          </cell>
          <cell r="F66" t="str">
            <v>Anjali</v>
          </cell>
          <cell r="G66">
            <v>38749</v>
          </cell>
          <cell r="H66" t="str">
            <v>-</v>
          </cell>
          <cell r="I66">
            <v>38749</v>
          </cell>
          <cell r="J66" t="str">
            <v>closed</v>
          </cell>
        </row>
        <row r="67">
          <cell r="A67" t="str">
            <v>59</v>
          </cell>
          <cell r="B67" t="str">
            <v>Feb</v>
          </cell>
          <cell r="C67" t="str">
            <v>A</v>
          </cell>
          <cell r="D67">
            <v>38750</v>
          </cell>
          <cell r="E67" t="str">
            <v>Send mail to Charles on PQR Road map for 2006</v>
          </cell>
          <cell r="F67" t="str">
            <v>Malini</v>
          </cell>
          <cell r="G67">
            <v>38750</v>
          </cell>
          <cell r="H67" t="str">
            <v>-</v>
          </cell>
          <cell r="I67">
            <v>38750</v>
          </cell>
          <cell r="J67" t="str">
            <v>closed</v>
          </cell>
        </row>
        <row r="68">
          <cell r="A68" t="str">
            <v>60</v>
          </cell>
          <cell r="B68" t="str">
            <v>Feb</v>
          </cell>
          <cell r="C68" t="str">
            <v>D</v>
          </cell>
          <cell r="D68">
            <v>38750</v>
          </cell>
          <cell r="E68" t="str">
            <v>Owner of QTM (Quality Team Meeting) to be Devang</v>
          </cell>
          <cell r="F68" t="str">
            <v>Devang</v>
          </cell>
          <cell r="H68" t="str">
            <v>-</v>
          </cell>
          <cell r="J68" t="str">
            <v>closed</v>
          </cell>
        </row>
        <row r="69">
          <cell r="A69" t="str">
            <v>61</v>
          </cell>
          <cell r="B69" t="str">
            <v>Feb</v>
          </cell>
          <cell r="C69" t="str">
            <v>A</v>
          </cell>
          <cell r="D69">
            <v>38750</v>
          </cell>
          <cell r="E69" t="str">
            <v>Devang to make detailed plan for QTM conductance (including Agenda)</v>
          </cell>
          <cell r="F69" t="str">
            <v>Devang</v>
          </cell>
          <cell r="G69">
            <v>38750</v>
          </cell>
          <cell r="H69">
            <v>38777</v>
          </cell>
          <cell r="J69" t="str">
            <v>Open</v>
          </cell>
        </row>
        <row r="70">
          <cell r="A70" t="str">
            <v>62</v>
          </cell>
          <cell r="B70" t="str">
            <v>Feb</v>
          </cell>
          <cell r="C70" t="str">
            <v>A</v>
          </cell>
          <cell r="D70">
            <v>38750</v>
          </cell>
          <cell r="E70" t="str">
            <v>Give field training plan for RoHS to Sukhvinder</v>
          </cell>
          <cell r="F70" t="str">
            <v>Anjali</v>
          </cell>
          <cell r="G70">
            <v>38750</v>
          </cell>
          <cell r="H70" t="str">
            <v>-</v>
          </cell>
          <cell r="I70">
            <v>38750</v>
          </cell>
          <cell r="J70" t="str">
            <v>Closed</v>
          </cell>
        </row>
        <row r="71">
          <cell r="A71" t="str">
            <v>63</v>
          </cell>
          <cell r="B71" t="str">
            <v>Feb</v>
          </cell>
          <cell r="C71" t="str">
            <v>A</v>
          </cell>
          <cell r="D71">
            <v>38750</v>
          </cell>
          <cell r="E71" t="str">
            <v>Update N-NET checklist related to RoHS</v>
          </cell>
          <cell r="F71" t="str">
            <v>Anjali</v>
          </cell>
          <cell r="G71">
            <v>38750</v>
          </cell>
          <cell r="H71" t="str">
            <v>-</v>
          </cell>
          <cell r="I71">
            <v>38750</v>
          </cell>
          <cell r="J71" t="str">
            <v>Closed</v>
          </cell>
        </row>
        <row r="72">
          <cell r="A72" t="str">
            <v>64</v>
          </cell>
          <cell r="B72" t="str">
            <v>Feb</v>
          </cell>
          <cell r="C72" t="str">
            <v>A</v>
          </cell>
          <cell r="D72">
            <v>38751</v>
          </cell>
          <cell r="E72" t="str">
            <v>Send mail to Maggie Song for instructions mentioned in the RoHS checklist related to Beijing</v>
          </cell>
          <cell r="F72" t="str">
            <v>Anjali</v>
          </cell>
          <cell r="G72">
            <v>38751</v>
          </cell>
          <cell r="H72" t="str">
            <v>-</v>
          </cell>
          <cell r="I72">
            <v>38751</v>
          </cell>
          <cell r="J72" t="str">
            <v>closed</v>
          </cell>
        </row>
        <row r="73">
          <cell r="A73" t="str">
            <v>65</v>
          </cell>
          <cell r="B73" t="str">
            <v>Feb</v>
          </cell>
          <cell r="C73" t="str">
            <v>A</v>
          </cell>
          <cell r="D73">
            <v>38751</v>
          </cell>
          <cell r="E73" t="str">
            <v>Send reminder e-mail to Marja Leena for details related to RoHS</v>
          </cell>
          <cell r="F73" t="str">
            <v>Anjali</v>
          </cell>
          <cell r="G73">
            <v>38751</v>
          </cell>
          <cell r="H73" t="str">
            <v>-</v>
          </cell>
          <cell r="I73">
            <v>38751</v>
          </cell>
          <cell r="J73" t="str">
            <v>closed</v>
          </cell>
        </row>
        <row r="74">
          <cell r="A74" t="str">
            <v>66</v>
          </cell>
          <cell r="B74" t="str">
            <v>Feb</v>
          </cell>
          <cell r="C74" t="str">
            <v>A</v>
          </cell>
          <cell r="D74">
            <v>38751</v>
          </cell>
          <cell r="E74" t="str">
            <v>Update N-NET checklist related to RoHS</v>
          </cell>
          <cell r="F74" t="str">
            <v>Anjali</v>
          </cell>
          <cell r="G74">
            <v>38751</v>
          </cell>
          <cell r="H74" t="str">
            <v>-</v>
          </cell>
          <cell r="I74">
            <v>38751</v>
          </cell>
          <cell r="J74" t="str">
            <v>closed</v>
          </cell>
        </row>
        <row r="75">
          <cell r="A75" t="str">
            <v>67</v>
          </cell>
          <cell r="B75" t="str">
            <v>Feb</v>
          </cell>
          <cell r="C75" t="str">
            <v>A</v>
          </cell>
          <cell r="D75">
            <v>38751</v>
          </cell>
          <cell r="E75" t="str">
            <v>Send mail for QOS updation to all concerned</v>
          </cell>
          <cell r="F75" t="str">
            <v>Malini</v>
          </cell>
          <cell r="G75">
            <v>38751</v>
          </cell>
          <cell r="H75" t="str">
            <v>-</v>
          </cell>
          <cell r="I75">
            <v>38751</v>
          </cell>
          <cell r="J75" t="str">
            <v>closed</v>
          </cell>
        </row>
        <row r="76">
          <cell r="A76" t="str">
            <v>68</v>
          </cell>
          <cell r="B76" t="str">
            <v>Feb</v>
          </cell>
          <cell r="C76" t="str">
            <v>A</v>
          </cell>
          <cell r="D76">
            <v>38751</v>
          </cell>
          <cell r="E76" t="str">
            <v>Link the BSC to QOS after updating the structure for including years.</v>
          </cell>
          <cell r="F76" t="str">
            <v>Malini</v>
          </cell>
          <cell r="G76">
            <v>38751</v>
          </cell>
          <cell r="H76" t="str">
            <v>-</v>
          </cell>
          <cell r="I76">
            <v>38751</v>
          </cell>
          <cell r="J76" t="str">
            <v>closed</v>
          </cell>
        </row>
        <row r="77">
          <cell r="A77" t="str">
            <v>69</v>
          </cell>
          <cell r="B77" t="str">
            <v>Feb</v>
          </cell>
          <cell r="C77" t="str">
            <v>A</v>
          </cell>
          <cell r="D77">
            <v>38751</v>
          </cell>
          <cell r="E77" t="str">
            <v>Prepare Functional BSC sheet for the year 2006 with linkages to the respective KPIs</v>
          </cell>
          <cell r="F77" t="str">
            <v>Malini</v>
          </cell>
          <cell r="G77">
            <v>38751</v>
          </cell>
          <cell r="H77" t="str">
            <v>-</v>
          </cell>
          <cell r="I77">
            <v>38751</v>
          </cell>
          <cell r="J77" t="str">
            <v>closed</v>
          </cell>
        </row>
        <row r="78">
          <cell r="A78" t="str">
            <v>70</v>
          </cell>
          <cell r="B78" t="str">
            <v>Feb</v>
          </cell>
          <cell r="C78" t="str">
            <v>A</v>
          </cell>
          <cell r="D78">
            <v>38755</v>
          </cell>
          <cell r="E78" t="str">
            <v>To analyse the reports which are duplicated both in the QOS reports &amp; in Functional BSC KPI reports &amp; prepare a list on the same.</v>
          </cell>
          <cell r="F78" t="str">
            <v>Malini</v>
          </cell>
          <cell r="G78">
            <v>38757</v>
          </cell>
          <cell r="H78" t="str">
            <v>-</v>
          </cell>
          <cell r="I78">
            <v>38757</v>
          </cell>
          <cell r="J78" t="str">
            <v>closed</v>
          </cell>
        </row>
        <row r="79">
          <cell r="A79" t="str">
            <v>71</v>
          </cell>
          <cell r="B79" t="str">
            <v>Feb</v>
          </cell>
          <cell r="C79" t="str">
            <v>A</v>
          </cell>
          <cell r="D79">
            <v>38755</v>
          </cell>
          <cell r="E79" t="str">
            <v>OPIX to be calculated based on customer wise with simple average of all customer data &amp; also weighted average of customer data.</v>
          </cell>
          <cell r="F79" t="str">
            <v>Malini</v>
          </cell>
          <cell r="G79">
            <v>38757</v>
          </cell>
          <cell r="H79" t="str">
            <v>-</v>
          </cell>
          <cell r="I79">
            <v>38757</v>
          </cell>
          <cell r="J79" t="str">
            <v>closed</v>
          </cell>
        </row>
        <row r="80">
          <cell r="A80" t="str">
            <v>72</v>
          </cell>
          <cell r="B80" t="str">
            <v>Feb</v>
          </cell>
          <cell r="C80" t="str">
            <v>A</v>
          </cell>
          <cell r="D80">
            <v>38755</v>
          </cell>
          <cell r="E80" t="str">
            <v>QOS access permission to be prepared similar to shenzhen &amp; mail to Breezy</v>
          </cell>
          <cell r="F80" t="str">
            <v>Malini</v>
          </cell>
          <cell r="G80">
            <v>38756</v>
          </cell>
          <cell r="H80" t="str">
            <v>-</v>
          </cell>
          <cell r="I80">
            <v>38756</v>
          </cell>
          <cell r="J80" t="str">
            <v>closed</v>
          </cell>
        </row>
        <row r="81">
          <cell r="A81" t="str">
            <v>73</v>
          </cell>
          <cell r="B81" t="str">
            <v>Feb</v>
          </cell>
          <cell r="C81" t="str">
            <v>A</v>
          </cell>
          <cell r="D81">
            <v>38756</v>
          </cell>
          <cell r="E81" t="str">
            <v xml:space="preserve">EHS information to be submitted for QOS updation </v>
          </cell>
          <cell r="F81" t="str">
            <v>Anjali</v>
          </cell>
          <cell r="G81">
            <v>38756</v>
          </cell>
          <cell r="H81">
            <v>38792</v>
          </cell>
          <cell r="J81" t="str">
            <v>Open</v>
          </cell>
        </row>
        <row r="82">
          <cell r="A82" t="str">
            <v>74</v>
          </cell>
          <cell r="B82" t="str">
            <v>Feb</v>
          </cell>
          <cell r="C82" t="str">
            <v>A</v>
          </cell>
          <cell r="D82">
            <v>38756</v>
          </cell>
          <cell r="E82" t="str">
            <v>Update N-NET checklist related to RoHS and submit to Sukhvinder</v>
          </cell>
          <cell r="F82" t="str">
            <v>Anjali</v>
          </cell>
          <cell r="G82">
            <v>38756</v>
          </cell>
          <cell r="H82">
            <v>38763</v>
          </cell>
          <cell r="I82">
            <v>38756</v>
          </cell>
          <cell r="J82" t="str">
            <v>closed</v>
          </cell>
        </row>
        <row r="83">
          <cell r="A83" t="str">
            <v>75</v>
          </cell>
          <cell r="B83" t="str">
            <v>Feb</v>
          </cell>
          <cell r="C83" t="str">
            <v>A</v>
          </cell>
          <cell r="D83">
            <v>38756</v>
          </cell>
          <cell r="E83" t="str">
            <v>Functional sheet to be updated for all activities pertaining to EHS</v>
          </cell>
          <cell r="F83" t="str">
            <v>Anjali</v>
          </cell>
          <cell r="G83">
            <v>38756</v>
          </cell>
          <cell r="H83" t="str">
            <v>-</v>
          </cell>
          <cell r="I83">
            <v>38756</v>
          </cell>
          <cell r="J83" t="str">
            <v>closed</v>
          </cell>
        </row>
        <row r="84">
          <cell r="A84" t="str">
            <v>76</v>
          </cell>
          <cell r="B84" t="str">
            <v>Feb</v>
          </cell>
          <cell r="C84" t="str">
            <v>A</v>
          </cell>
          <cell r="D84">
            <v>38756</v>
          </cell>
          <cell r="E84" t="str">
            <v>Kickoff meeting for OHSAS 18001</v>
          </cell>
          <cell r="F84" t="str">
            <v>Anjali</v>
          </cell>
          <cell r="G84">
            <v>38758</v>
          </cell>
          <cell r="H84" t="str">
            <v>-</v>
          </cell>
          <cell r="I84">
            <v>38758</v>
          </cell>
          <cell r="J84" t="str">
            <v>closed</v>
          </cell>
        </row>
        <row r="85">
          <cell r="A85" t="str">
            <v>77</v>
          </cell>
          <cell r="B85" t="str">
            <v>Feb</v>
          </cell>
          <cell r="C85" t="str">
            <v>A</v>
          </cell>
          <cell r="D85">
            <v>38756</v>
          </cell>
          <cell r="E85" t="str">
            <v>QOS review with Sukhvinder</v>
          </cell>
          <cell r="F85" t="str">
            <v>Malini</v>
          </cell>
          <cell r="G85">
            <v>38756</v>
          </cell>
          <cell r="H85" t="str">
            <v>-</v>
          </cell>
          <cell r="J85" t="str">
            <v>Open</v>
          </cell>
        </row>
        <row r="86">
          <cell r="A86" t="str">
            <v>78</v>
          </cell>
          <cell r="B86" t="str">
            <v>Feb</v>
          </cell>
          <cell r="C86" t="str">
            <v>A</v>
          </cell>
          <cell r="D86">
            <v>38756</v>
          </cell>
          <cell r="E86" t="str">
            <v>Update Annex-V Roadmap (with pointwise summary in the remarks column)</v>
          </cell>
          <cell r="F86" t="str">
            <v>Malini</v>
          </cell>
          <cell r="G86">
            <v>38756</v>
          </cell>
          <cell r="H86" t="str">
            <v>-</v>
          </cell>
          <cell r="I86">
            <v>38756</v>
          </cell>
          <cell r="J86" t="str">
            <v>closed</v>
          </cell>
        </row>
        <row r="87">
          <cell r="A87" t="str">
            <v>79</v>
          </cell>
          <cell r="B87" t="str">
            <v>Feb</v>
          </cell>
          <cell r="C87" t="str">
            <v>A</v>
          </cell>
          <cell r="D87">
            <v>38756</v>
          </cell>
          <cell r="E87" t="str">
            <v>OPIX to be reviewed with Sukhvinder</v>
          </cell>
          <cell r="F87" t="str">
            <v>Malini</v>
          </cell>
          <cell r="G87">
            <v>38756</v>
          </cell>
          <cell r="H87" t="str">
            <v>-</v>
          </cell>
          <cell r="J87" t="str">
            <v>closed</v>
          </cell>
        </row>
        <row r="88">
          <cell r="A88" t="str">
            <v>80</v>
          </cell>
          <cell r="B88" t="str">
            <v>Feb</v>
          </cell>
          <cell r="C88" t="str">
            <v>A</v>
          </cell>
          <cell r="D88">
            <v>38756</v>
          </cell>
          <cell r="E88" t="str">
            <v>Internal Customer satisfaction Matrix to be prepared and planning to be done.</v>
          </cell>
          <cell r="F88" t="str">
            <v>Malini</v>
          </cell>
          <cell r="G88">
            <v>38776</v>
          </cell>
          <cell r="H88" t="str">
            <v>-</v>
          </cell>
          <cell r="J88" t="str">
            <v>Open</v>
          </cell>
        </row>
        <row r="89">
          <cell r="A89" t="str">
            <v>81</v>
          </cell>
          <cell r="B89" t="str">
            <v>Feb</v>
          </cell>
          <cell r="C89" t="str">
            <v>A</v>
          </cell>
          <cell r="D89">
            <v>38756</v>
          </cell>
          <cell r="E89" t="str">
            <v>Functional sheet to be updated for all activities pertaining to BPM</v>
          </cell>
          <cell r="F89" t="str">
            <v>Devang</v>
          </cell>
          <cell r="G89">
            <v>38756</v>
          </cell>
          <cell r="H89" t="str">
            <v>-</v>
          </cell>
          <cell r="J89" t="str">
            <v>closed</v>
          </cell>
        </row>
        <row r="90">
          <cell r="A90" t="str">
            <v>82</v>
          </cell>
          <cell r="B90" t="str">
            <v>Feb</v>
          </cell>
          <cell r="C90" t="str">
            <v>A</v>
          </cell>
          <cell r="D90">
            <v>38756</v>
          </cell>
          <cell r="E90" t="str">
            <v>DMM Agenda to be updated &amp; file modifications to be done to hyperlink all the worksheets in the DMM file to main sheet</v>
          </cell>
          <cell r="F90" t="str">
            <v>Malini</v>
          </cell>
          <cell r="G90">
            <v>38756</v>
          </cell>
          <cell r="H90" t="str">
            <v>-</v>
          </cell>
          <cell r="J90" t="str">
            <v>closed</v>
          </cell>
        </row>
        <row r="91">
          <cell r="A91" t="str">
            <v>83</v>
          </cell>
          <cell r="B91" t="str">
            <v>Feb</v>
          </cell>
          <cell r="C91" t="str">
            <v>A</v>
          </cell>
          <cell r="D91">
            <v>38757</v>
          </cell>
          <cell r="E91" t="str">
            <v xml:space="preserve">Presentation to be prepared for OHSAS 18001:1999 </v>
          </cell>
          <cell r="F91" t="str">
            <v>Anjali</v>
          </cell>
          <cell r="G91">
            <v>38757</v>
          </cell>
          <cell r="H91" t="str">
            <v>-</v>
          </cell>
          <cell r="I91">
            <v>38757</v>
          </cell>
          <cell r="J91" t="str">
            <v>closed</v>
          </cell>
        </row>
        <row r="92">
          <cell r="A92" t="str">
            <v>84</v>
          </cell>
          <cell r="B92" t="str">
            <v>Feb</v>
          </cell>
          <cell r="C92" t="str">
            <v>A</v>
          </cell>
          <cell r="D92">
            <v>38757</v>
          </cell>
          <cell r="E92" t="str">
            <v>Roadmap for OHSAS 18001:1999 to be prepared today</v>
          </cell>
          <cell r="F92" t="str">
            <v>Anjali</v>
          </cell>
          <cell r="G92">
            <v>38757</v>
          </cell>
          <cell r="H92" t="str">
            <v>-</v>
          </cell>
          <cell r="I92">
            <v>38757</v>
          </cell>
          <cell r="J92" t="str">
            <v>closed</v>
          </cell>
        </row>
        <row r="93">
          <cell r="A93" t="str">
            <v>85</v>
          </cell>
          <cell r="B93" t="str">
            <v>Feb</v>
          </cell>
          <cell r="C93" t="str">
            <v>A</v>
          </cell>
          <cell r="D93">
            <v>38757</v>
          </cell>
          <cell r="E93" t="str">
            <v>Arrange for meeting with Technology for RoHS implementation</v>
          </cell>
          <cell r="F93" t="str">
            <v>Anjali</v>
          </cell>
          <cell r="G93">
            <v>38757</v>
          </cell>
          <cell r="H93">
            <v>38758</v>
          </cell>
          <cell r="I93">
            <v>38758</v>
          </cell>
          <cell r="J93" t="str">
            <v>closed</v>
          </cell>
        </row>
        <row r="94">
          <cell r="A94" t="str">
            <v>86</v>
          </cell>
          <cell r="B94" t="str">
            <v>Feb</v>
          </cell>
          <cell r="C94" t="str">
            <v>A</v>
          </cell>
          <cell r="D94">
            <v>38757</v>
          </cell>
          <cell r="E94" t="str">
            <v>Interim meeting on EHS Masterplan with Sukhvinder</v>
          </cell>
          <cell r="F94" t="str">
            <v>Anjali</v>
          </cell>
          <cell r="G94">
            <v>38765</v>
          </cell>
          <cell r="H94" t="str">
            <v>-</v>
          </cell>
          <cell r="I94">
            <v>38765</v>
          </cell>
          <cell r="J94" t="str">
            <v>closed</v>
          </cell>
        </row>
        <row r="95">
          <cell r="A95" t="str">
            <v>87</v>
          </cell>
          <cell r="B95" t="str">
            <v>Feb</v>
          </cell>
          <cell r="C95" t="str">
            <v>A</v>
          </cell>
          <cell r="D95">
            <v>38757</v>
          </cell>
          <cell r="E95" t="str">
            <v>Interim meeting on BMP Masterplan with Sukhvinder</v>
          </cell>
          <cell r="F95" t="str">
            <v>Devang</v>
          </cell>
          <cell r="G95">
            <v>38765</v>
          </cell>
          <cell r="H95" t="str">
            <v>-</v>
          </cell>
          <cell r="J95" t="str">
            <v>closed</v>
          </cell>
        </row>
        <row r="96">
          <cell r="A96" t="str">
            <v>88</v>
          </cell>
          <cell r="B96" t="str">
            <v>Feb</v>
          </cell>
          <cell r="C96" t="str">
            <v>A</v>
          </cell>
          <cell r="D96">
            <v>38757</v>
          </cell>
          <cell r="E96" t="str">
            <v>COPQ to be implemented</v>
          </cell>
          <cell r="F96" t="str">
            <v>Malini</v>
          </cell>
          <cell r="G96">
            <v>38806</v>
          </cell>
          <cell r="H96" t="str">
            <v>-</v>
          </cell>
          <cell r="J96" t="str">
            <v>Open</v>
          </cell>
        </row>
        <row r="97">
          <cell r="A97" t="str">
            <v>89</v>
          </cell>
          <cell r="B97" t="str">
            <v>Feb</v>
          </cell>
          <cell r="C97" t="str">
            <v>A</v>
          </cell>
          <cell r="D97">
            <v>38757</v>
          </cell>
          <cell r="E97" t="str">
            <v>Audit plan for RoHS implementation to be prepared</v>
          </cell>
          <cell r="F97" t="str">
            <v>Anjali</v>
          </cell>
          <cell r="G97">
            <v>38758</v>
          </cell>
          <cell r="H97" t="str">
            <v>-</v>
          </cell>
          <cell r="I97">
            <v>38763</v>
          </cell>
          <cell r="J97" t="str">
            <v>closed</v>
          </cell>
        </row>
        <row r="98">
          <cell r="A98" t="str">
            <v>90</v>
          </cell>
          <cell r="B98" t="str">
            <v>Feb</v>
          </cell>
          <cell r="C98" t="str">
            <v>A</v>
          </cell>
          <cell r="D98">
            <v>38757</v>
          </cell>
          <cell r="E98" t="str">
            <v>Checklist for EHS requirements to be filled up for Customer , Thomson</v>
          </cell>
          <cell r="F98" t="str">
            <v>Anjali</v>
          </cell>
          <cell r="G98">
            <v>38757</v>
          </cell>
          <cell r="H98" t="str">
            <v>-</v>
          </cell>
          <cell r="J98" t="str">
            <v>Closed</v>
          </cell>
        </row>
        <row r="99">
          <cell r="A99" t="str">
            <v>91</v>
          </cell>
          <cell r="B99" t="str">
            <v>Feb</v>
          </cell>
          <cell r="C99" t="str">
            <v>A</v>
          </cell>
          <cell r="D99">
            <v>38757</v>
          </cell>
          <cell r="E99" t="str">
            <v>Fix a meeting with Sanjeev to review the Manufacturing QOS requirements</v>
          </cell>
          <cell r="F99" t="str">
            <v>Malini</v>
          </cell>
          <cell r="G99">
            <v>38757</v>
          </cell>
          <cell r="H99" t="str">
            <v>-</v>
          </cell>
          <cell r="J99" t="str">
            <v>Open</v>
          </cell>
        </row>
        <row r="100">
          <cell r="A100" t="str">
            <v>92</v>
          </cell>
          <cell r="B100" t="str">
            <v>Feb</v>
          </cell>
          <cell r="C100" t="str">
            <v>A</v>
          </cell>
          <cell r="D100">
            <v>38758</v>
          </cell>
          <cell r="E100" t="str">
            <v>Thomson checklist to be filled with the brief on entire QMS processes in elcoteq bangalore</v>
          </cell>
          <cell r="F100" t="str">
            <v>Malini</v>
          </cell>
          <cell r="G100">
            <v>38758</v>
          </cell>
          <cell r="H100" t="str">
            <v>-</v>
          </cell>
          <cell r="J100" t="str">
            <v>closed</v>
          </cell>
        </row>
        <row r="101">
          <cell r="A101" t="str">
            <v>93</v>
          </cell>
          <cell r="B101" t="str">
            <v>Feb</v>
          </cell>
          <cell r="C101" t="str">
            <v>A</v>
          </cell>
          <cell r="D101">
            <v>38758</v>
          </cell>
          <cell r="E101" t="str">
            <v>Key Management plan to be prepared (Document control room &amp; also a generic process to be defined for Elcoteq Bangalore)</v>
          </cell>
          <cell r="F101" t="str">
            <v>Malini</v>
          </cell>
          <cell r="G101">
            <v>38758</v>
          </cell>
          <cell r="H101" t="str">
            <v>-</v>
          </cell>
          <cell r="J101" t="str">
            <v>closed</v>
          </cell>
        </row>
        <row r="102">
          <cell r="A102" t="str">
            <v>94</v>
          </cell>
          <cell r="B102" t="str">
            <v>Feb</v>
          </cell>
          <cell r="C102" t="str">
            <v>A</v>
          </cell>
          <cell r="D102">
            <v>38758</v>
          </cell>
          <cell r="E102" t="str">
            <v>External audit plan tracker to be updated for the present status</v>
          </cell>
          <cell r="F102" t="str">
            <v>Devang</v>
          </cell>
          <cell r="G102">
            <v>38758</v>
          </cell>
          <cell r="H102" t="str">
            <v>-</v>
          </cell>
          <cell r="I102">
            <v>38761</v>
          </cell>
          <cell r="J102" t="str">
            <v>closed</v>
          </cell>
        </row>
        <row r="103">
          <cell r="A103" t="str">
            <v>95</v>
          </cell>
          <cell r="B103" t="str">
            <v>Feb</v>
          </cell>
          <cell r="C103" t="str">
            <v>A</v>
          </cell>
          <cell r="D103">
            <v>38758</v>
          </cell>
          <cell r="E103" t="str">
            <v xml:space="preserve">OHSAS 18001 Road map to be put in DMM file for daily review </v>
          </cell>
          <cell r="F103" t="str">
            <v>Anjali</v>
          </cell>
          <cell r="G103">
            <v>38758</v>
          </cell>
          <cell r="H103" t="str">
            <v>-</v>
          </cell>
          <cell r="I103">
            <v>38758</v>
          </cell>
          <cell r="J103" t="str">
            <v>closed</v>
          </cell>
        </row>
        <row r="104">
          <cell r="A104" t="str">
            <v>96</v>
          </cell>
          <cell r="B104" t="str">
            <v>Feb</v>
          </cell>
          <cell r="C104" t="str">
            <v>A</v>
          </cell>
          <cell r="D104">
            <v>38758</v>
          </cell>
          <cell r="E104" t="str">
            <v xml:space="preserve">EHS information to be updated on the QOS </v>
          </cell>
          <cell r="F104" t="str">
            <v>Malini</v>
          </cell>
          <cell r="G104">
            <v>38796</v>
          </cell>
          <cell r="H104" t="str">
            <v>-</v>
          </cell>
          <cell r="J104" t="str">
            <v>Open</v>
          </cell>
        </row>
        <row r="105">
          <cell r="A105" t="str">
            <v>97</v>
          </cell>
          <cell r="B105" t="str">
            <v>Feb</v>
          </cell>
          <cell r="C105" t="str">
            <v>A</v>
          </cell>
          <cell r="D105">
            <v>38758</v>
          </cell>
          <cell r="E105" t="str">
            <v>Minutes of kick-off meeting for OHSAS 18001 and SA 8000 to be prepared</v>
          </cell>
          <cell r="F105" t="str">
            <v>Anjali</v>
          </cell>
          <cell r="G105">
            <v>38758</v>
          </cell>
          <cell r="H105" t="str">
            <v>-</v>
          </cell>
          <cell r="I105">
            <v>38758</v>
          </cell>
          <cell r="J105" t="str">
            <v>closed</v>
          </cell>
        </row>
        <row r="106">
          <cell r="A106" t="str">
            <v>98</v>
          </cell>
          <cell r="B106" t="str">
            <v>Feb</v>
          </cell>
          <cell r="C106" t="str">
            <v>A</v>
          </cell>
          <cell r="D106">
            <v>38758</v>
          </cell>
          <cell r="E106" t="str">
            <v>Authorization for Management Representative (OHSAS 18001) and Company Representative (SA 8000) to be approved</v>
          </cell>
          <cell r="F106" t="str">
            <v>Anjali</v>
          </cell>
          <cell r="G106">
            <v>38758</v>
          </cell>
          <cell r="H106" t="str">
            <v>-</v>
          </cell>
          <cell r="I106">
            <v>38758</v>
          </cell>
          <cell r="J106" t="str">
            <v>closed</v>
          </cell>
        </row>
        <row r="107">
          <cell r="A107" t="str">
            <v>99</v>
          </cell>
          <cell r="B107" t="str">
            <v>Feb</v>
          </cell>
          <cell r="C107" t="str">
            <v>A</v>
          </cell>
          <cell r="D107">
            <v>38761</v>
          </cell>
          <cell r="E107" t="str">
            <v>Meeting to be arranged with Marja Leena</v>
          </cell>
          <cell r="F107" t="str">
            <v>Anjali</v>
          </cell>
          <cell r="G107">
            <v>38761</v>
          </cell>
          <cell r="H107" t="str">
            <v>-</v>
          </cell>
          <cell r="I107">
            <v>38761</v>
          </cell>
          <cell r="J107" t="str">
            <v>closed</v>
          </cell>
        </row>
        <row r="108">
          <cell r="A108" t="str">
            <v>100</v>
          </cell>
          <cell r="B108" t="str">
            <v>Feb</v>
          </cell>
          <cell r="C108" t="str">
            <v>A</v>
          </cell>
          <cell r="D108">
            <v>38761</v>
          </cell>
          <cell r="E108" t="str">
            <v>Quotation to be invited from UL and SGS for testing of RoHS compliant parts</v>
          </cell>
          <cell r="F108" t="str">
            <v>Anjali</v>
          </cell>
          <cell r="G108">
            <v>38765</v>
          </cell>
          <cell r="H108" t="str">
            <v>-</v>
          </cell>
          <cell r="I108">
            <v>38764</v>
          </cell>
          <cell r="J108" t="str">
            <v>closed</v>
          </cell>
        </row>
        <row r="109">
          <cell r="A109" t="str">
            <v>101</v>
          </cell>
          <cell r="B109" t="str">
            <v>Feb</v>
          </cell>
          <cell r="C109" t="str">
            <v>A</v>
          </cell>
          <cell r="D109">
            <v>38761</v>
          </cell>
          <cell r="E109" t="str">
            <v>Finalize the members for attending the training for OHSAS 18001</v>
          </cell>
          <cell r="F109" t="str">
            <v>Anjali</v>
          </cell>
          <cell r="G109">
            <v>38762</v>
          </cell>
          <cell r="H109" t="str">
            <v>-</v>
          </cell>
          <cell r="I109">
            <v>38762</v>
          </cell>
          <cell r="J109" t="str">
            <v>closed</v>
          </cell>
        </row>
        <row r="110">
          <cell r="A110" t="str">
            <v>102</v>
          </cell>
          <cell r="B110" t="str">
            <v>Feb</v>
          </cell>
          <cell r="C110" t="str">
            <v>A</v>
          </cell>
          <cell r="D110">
            <v>38761</v>
          </cell>
          <cell r="E110" t="str">
            <v>Finalize the members for attending the training for SA 8000</v>
          </cell>
          <cell r="F110" t="str">
            <v>Devang</v>
          </cell>
          <cell r="G110">
            <v>38762</v>
          </cell>
          <cell r="H110" t="str">
            <v>-</v>
          </cell>
          <cell r="I110">
            <v>38762</v>
          </cell>
          <cell r="J110" t="str">
            <v>closed</v>
          </cell>
        </row>
        <row r="111">
          <cell r="A111" t="str">
            <v>103</v>
          </cell>
          <cell r="B111" t="str">
            <v>Feb</v>
          </cell>
          <cell r="C111" t="str">
            <v>A</v>
          </cell>
          <cell r="D111">
            <v>38761</v>
          </cell>
          <cell r="E111" t="str">
            <v>Arrangement of Policy display boards for OHSAS 18001</v>
          </cell>
          <cell r="F111" t="str">
            <v>Anjali</v>
          </cell>
          <cell r="G111">
            <v>38791</v>
          </cell>
          <cell r="H111" t="str">
            <v>-</v>
          </cell>
          <cell r="J111" t="str">
            <v>Open</v>
          </cell>
        </row>
        <row r="112">
          <cell r="A112" t="str">
            <v>104</v>
          </cell>
          <cell r="B112" t="str">
            <v>Feb</v>
          </cell>
          <cell r="C112" t="str">
            <v>A</v>
          </cell>
          <cell r="D112">
            <v>38761</v>
          </cell>
          <cell r="E112" t="str">
            <v>Arrangement of Policy display boards  for SA 8000</v>
          </cell>
          <cell r="F112" t="str">
            <v>Devang</v>
          </cell>
          <cell r="G112">
            <v>38791</v>
          </cell>
          <cell r="J112" t="str">
            <v>Open</v>
          </cell>
        </row>
        <row r="113">
          <cell r="A113" t="str">
            <v>105</v>
          </cell>
          <cell r="B113" t="str">
            <v>Feb</v>
          </cell>
          <cell r="C113" t="str">
            <v>A</v>
          </cell>
          <cell r="D113">
            <v>38762</v>
          </cell>
          <cell r="E113" t="str">
            <v>Finalize the date for training on  SA 8000</v>
          </cell>
          <cell r="F113" t="str">
            <v>Devang</v>
          </cell>
          <cell r="G113">
            <v>38762</v>
          </cell>
          <cell r="H113" t="str">
            <v>-</v>
          </cell>
          <cell r="I113">
            <v>38762</v>
          </cell>
          <cell r="J113" t="str">
            <v>closed</v>
          </cell>
        </row>
        <row r="114">
          <cell r="A114" t="str">
            <v>106</v>
          </cell>
          <cell r="B114" t="str">
            <v>Feb</v>
          </cell>
          <cell r="C114" t="str">
            <v>A</v>
          </cell>
          <cell r="D114">
            <v>38762</v>
          </cell>
          <cell r="E114" t="str">
            <v>Presentation to be prepared for OHSAS 18001:1999 review meeting</v>
          </cell>
          <cell r="F114" t="str">
            <v>Anjali</v>
          </cell>
          <cell r="G114">
            <v>38763</v>
          </cell>
          <cell r="H114" t="str">
            <v>-</v>
          </cell>
          <cell r="I114">
            <v>38763</v>
          </cell>
          <cell r="J114" t="str">
            <v>closed</v>
          </cell>
        </row>
        <row r="115">
          <cell r="A115" t="str">
            <v>107</v>
          </cell>
          <cell r="B115" t="str">
            <v>Feb</v>
          </cell>
          <cell r="C115" t="str">
            <v>A</v>
          </cell>
          <cell r="D115">
            <v>38762</v>
          </cell>
          <cell r="E115" t="str">
            <v>Roadmap for SA 8000 to be prepared for the review meeting</v>
          </cell>
          <cell r="F115" t="str">
            <v>Devang</v>
          </cell>
          <cell r="G115">
            <v>38762</v>
          </cell>
          <cell r="H115" t="str">
            <v>-</v>
          </cell>
          <cell r="J115" t="str">
            <v>closed</v>
          </cell>
        </row>
        <row r="116">
          <cell r="A116" t="str">
            <v>108</v>
          </cell>
          <cell r="B116" t="str">
            <v>Feb</v>
          </cell>
          <cell r="C116" t="str">
            <v>A</v>
          </cell>
          <cell r="D116">
            <v>38762</v>
          </cell>
          <cell r="E116" t="str">
            <v xml:space="preserve">Action plan for archiving the Records to be submitted </v>
          </cell>
          <cell r="F116" t="str">
            <v>Vasuki</v>
          </cell>
          <cell r="G116">
            <v>38762</v>
          </cell>
          <cell r="H116" t="str">
            <v>-</v>
          </cell>
          <cell r="J116" t="str">
            <v>closed</v>
          </cell>
        </row>
        <row r="117">
          <cell r="A117" t="str">
            <v>109</v>
          </cell>
          <cell r="B117" t="str">
            <v>Feb</v>
          </cell>
          <cell r="C117" t="str">
            <v>A</v>
          </cell>
          <cell r="D117">
            <v>38762</v>
          </cell>
          <cell r="E117" t="str">
            <v>Thomson checklist to be sent</v>
          </cell>
          <cell r="F117" t="str">
            <v>Devang</v>
          </cell>
          <cell r="G117">
            <v>38762</v>
          </cell>
          <cell r="H117" t="str">
            <v>-</v>
          </cell>
          <cell r="I117">
            <v>38768</v>
          </cell>
          <cell r="J117" t="str">
            <v>closed</v>
          </cell>
        </row>
        <row r="118">
          <cell r="A118" t="str">
            <v>110</v>
          </cell>
          <cell r="B118" t="str">
            <v>Feb</v>
          </cell>
          <cell r="C118" t="str">
            <v>A</v>
          </cell>
          <cell r="D118">
            <v>38762</v>
          </cell>
          <cell r="E118" t="str">
            <v>Environment Objectives draft for 2006 to be discussed with Sukhvinder</v>
          </cell>
          <cell r="F118" t="str">
            <v>Anjali</v>
          </cell>
          <cell r="G118">
            <v>38763</v>
          </cell>
          <cell r="I118">
            <v>38763</v>
          </cell>
          <cell r="J118" t="str">
            <v>closed</v>
          </cell>
        </row>
        <row r="119">
          <cell r="A119" t="str">
            <v>111</v>
          </cell>
          <cell r="B119" t="str">
            <v>Feb</v>
          </cell>
          <cell r="C119" t="str">
            <v>A</v>
          </cell>
          <cell r="D119">
            <v>38762</v>
          </cell>
          <cell r="E119" t="str">
            <v>QTM meeting agenda to be discussed with Sukhvinder</v>
          </cell>
          <cell r="F119" t="str">
            <v>Devang</v>
          </cell>
          <cell r="G119">
            <v>38762</v>
          </cell>
          <cell r="H119">
            <v>38777</v>
          </cell>
          <cell r="J119" t="str">
            <v>closed</v>
          </cell>
        </row>
        <row r="120">
          <cell r="A120" t="str">
            <v>112</v>
          </cell>
          <cell r="B120" t="str">
            <v>Feb</v>
          </cell>
          <cell r="C120" t="str">
            <v>A</v>
          </cell>
          <cell r="D120">
            <v>38762</v>
          </cell>
          <cell r="E120" t="str">
            <v>Customer Report discussion with Sukhvinder</v>
          </cell>
          <cell r="F120" t="str">
            <v>Devang</v>
          </cell>
          <cell r="G120">
            <v>38762</v>
          </cell>
          <cell r="H120">
            <v>38777</v>
          </cell>
          <cell r="J120" t="str">
            <v>closed</v>
          </cell>
        </row>
        <row r="121">
          <cell r="A121" t="str">
            <v>113</v>
          </cell>
          <cell r="B121" t="str">
            <v>Feb</v>
          </cell>
          <cell r="C121" t="str">
            <v>A</v>
          </cell>
          <cell r="D121">
            <v>38762</v>
          </cell>
          <cell r="E121" t="str">
            <v>Environmental Policy Boards to be changed and displayed</v>
          </cell>
          <cell r="F121" t="str">
            <v>Devang</v>
          </cell>
          <cell r="G121">
            <v>38786</v>
          </cell>
          <cell r="J121" t="str">
            <v>Open</v>
          </cell>
        </row>
        <row r="122">
          <cell r="A122" t="str">
            <v>114</v>
          </cell>
          <cell r="B122" t="str">
            <v>Feb</v>
          </cell>
          <cell r="C122" t="str">
            <v>A</v>
          </cell>
          <cell r="D122">
            <v>38762</v>
          </cell>
          <cell r="E122" t="str">
            <v>OHS Policy to be finalized</v>
          </cell>
          <cell r="F122" t="str">
            <v>Anjali</v>
          </cell>
          <cell r="G122">
            <v>38780</v>
          </cell>
          <cell r="H122" t="str">
            <v>-</v>
          </cell>
          <cell r="I122">
            <v>38779</v>
          </cell>
          <cell r="J122" t="str">
            <v>closed</v>
          </cell>
        </row>
        <row r="123">
          <cell r="A123" t="str">
            <v>115</v>
          </cell>
          <cell r="B123" t="str">
            <v>Feb</v>
          </cell>
          <cell r="C123" t="str">
            <v>A</v>
          </cell>
          <cell r="D123">
            <v>38762</v>
          </cell>
          <cell r="E123" t="str">
            <v>SA Policy to be finalized</v>
          </cell>
          <cell r="F123" t="str">
            <v>Devang</v>
          </cell>
          <cell r="G123">
            <v>38772</v>
          </cell>
          <cell r="H123" t="str">
            <v>-</v>
          </cell>
          <cell r="I123">
            <v>38769</v>
          </cell>
          <cell r="J123" t="str">
            <v>closed</v>
          </cell>
        </row>
        <row r="124">
          <cell r="A124" t="str">
            <v>116</v>
          </cell>
          <cell r="B124" t="str">
            <v>Feb</v>
          </cell>
          <cell r="C124" t="str">
            <v>A</v>
          </cell>
          <cell r="D124">
            <v>38762</v>
          </cell>
          <cell r="E124" t="str">
            <v>Confirm with DNV for the training dates for OHSAS 18001 and SA 8000</v>
          </cell>
          <cell r="F124" t="str">
            <v>Sukhvinder</v>
          </cell>
          <cell r="G124">
            <v>38762</v>
          </cell>
          <cell r="H124" t="str">
            <v>-</v>
          </cell>
          <cell r="J124" t="str">
            <v>closed</v>
          </cell>
        </row>
        <row r="125">
          <cell r="A125" t="str">
            <v>117</v>
          </cell>
          <cell r="B125" t="str">
            <v>Feb</v>
          </cell>
          <cell r="C125" t="str">
            <v>A</v>
          </cell>
          <cell r="D125">
            <v>38762</v>
          </cell>
          <cell r="E125" t="str">
            <v>Send a mail to Corporate for obtaining OHSAS 18001 and SA 8000 documents</v>
          </cell>
          <cell r="F125" t="str">
            <v>Sukhvinder</v>
          </cell>
          <cell r="G125">
            <v>38762</v>
          </cell>
          <cell r="H125" t="str">
            <v>-</v>
          </cell>
          <cell r="J125" t="str">
            <v>closed</v>
          </cell>
        </row>
        <row r="126">
          <cell r="A126" t="str">
            <v>118</v>
          </cell>
          <cell r="B126" t="str">
            <v>Feb</v>
          </cell>
          <cell r="C126" t="str">
            <v>A</v>
          </cell>
          <cell r="D126">
            <v>38763</v>
          </cell>
          <cell r="E126" t="str">
            <v>Draft OHS Policy to be discussed with the OHSAS 18001 team members in workshop during the weekly meeting</v>
          </cell>
          <cell r="F126" t="str">
            <v>Anjali</v>
          </cell>
          <cell r="G126">
            <v>38764</v>
          </cell>
          <cell r="H126" t="str">
            <v>-</v>
          </cell>
          <cell r="I126">
            <v>38764</v>
          </cell>
          <cell r="J126" t="str">
            <v>closed</v>
          </cell>
        </row>
        <row r="127">
          <cell r="A127" t="str">
            <v>119</v>
          </cell>
          <cell r="B127" t="str">
            <v>Feb</v>
          </cell>
          <cell r="C127" t="str">
            <v>A</v>
          </cell>
          <cell r="D127">
            <v>38763</v>
          </cell>
          <cell r="E127" t="str">
            <v>Draft SA Policy to be discussed with the SA 8000 team members in workshop during the weekly meeting</v>
          </cell>
          <cell r="F127" t="str">
            <v>Devang</v>
          </cell>
          <cell r="G127">
            <v>38764</v>
          </cell>
          <cell r="H127" t="str">
            <v>-</v>
          </cell>
          <cell r="I127">
            <v>38764</v>
          </cell>
          <cell r="J127" t="str">
            <v>closed</v>
          </cell>
        </row>
        <row r="128">
          <cell r="A128" t="str">
            <v>120</v>
          </cell>
          <cell r="B128" t="str">
            <v>Feb</v>
          </cell>
          <cell r="C128" t="str">
            <v>A</v>
          </cell>
          <cell r="D128">
            <v>38763</v>
          </cell>
          <cell r="E128" t="str">
            <v>Send OHSAS 18001Standards to all members along with brief on preparation expected from members.</v>
          </cell>
          <cell r="F128" t="str">
            <v>Anjali</v>
          </cell>
          <cell r="G128">
            <v>38763</v>
          </cell>
          <cell r="H128" t="str">
            <v>-</v>
          </cell>
          <cell r="I128">
            <v>38763</v>
          </cell>
          <cell r="J128" t="str">
            <v>Closed</v>
          </cell>
        </row>
        <row r="129">
          <cell r="A129" t="str">
            <v>121</v>
          </cell>
          <cell r="B129" t="str">
            <v>Feb</v>
          </cell>
          <cell r="C129" t="str">
            <v>A</v>
          </cell>
          <cell r="D129">
            <v>38763</v>
          </cell>
          <cell r="E129" t="str">
            <v>Send SA 8000  Standards to all members along with brief on preparation expected from members.</v>
          </cell>
          <cell r="F129" t="str">
            <v>Devang</v>
          </cell>
          <cell r="G129">
            <v>38763</v>
          </cell>
          <cell r="H129" t="str">
            <v>-</v>
          </cell>
          <cell r="J129" t="str">
            <v>closed</v>
          </cell>
        </row>
        <row r="130">
          <cell r="A130" t="str">
            <v>122</v>
          </cell>
          <cell r="B130" t="str">
            <v>Feb</v>
          </cell>
          <cell r="C130" t="str">
            <v>A</v>
          </cell>
          <cell r="D130">
            <v>38763</v>
          </cell>
          <cell r="E130" t="str">
            <v>Meeting with Sukhvinder on Audit Plan</v>
          </cell>
          <cell r="F130" t="str">
            <v>Devang</v>
          </cell>
          <cell r="G130">
            <v>38775</v>
          </cell>
          <cell r="H130" t="str">
            <v>-</v>
          </cell>
          <cell r="I130">
            <v>38787</v>
          </cell>
          <cell r="J130" t="str">
            <v>closed</v>
          </cell>
        </row>
        <row r="131">
          <cell r="A131" t="str">
            <v>123</v>
          </cell>
          <cell r="B131" t="str">
            <v>Feb</v>
          </cell>
          <cell r="C131" t="str">
            <v>A</v>
          </cell>
          <cell r="D131">
            <v>38763</v>
          </cell>
          <cell r="E131" t="str">
            <v>Plan for CIP contest to be conducted in April</v>
          </cell>
          <cell r="F131" t="str">
            <v>Devang</v>
          </cell>
          <cell r="G131">
            <v>38779</v>
          </cell>
          <cell r="H131" t="str">
            <v>-</v>
          </cell>
          <cell r="J131" t="str">
            <v>Open</v>
          </cell>
        </row>
        <row r="132">
          <cell r="A132" t="str">
            <v>124</v>
          </cell>
          <cell r="B132" t="str">
            <v>Feb</v>
          </cell>
          <cell r="C132" t="str">
            <v>A</v>
          </cell>
          <cell r="D132">
            <v>38764</v>
          </cell>
          <cell r="E132" t="str">
            <v>Prepare weekly review meeting plan for OHSAS 18001 and SA 8000 and send calendar to all concerned</v>
          </cell>
          <cell r="F132" t="str">
            <v>Anjali</v>
          </cell>
          <cell r="G132">
            <v>38786</v>
          </cell>
          <cell r="H132" t="str">
            <v>-</v>
          </cell>
          <cell r="J132" t="str">
            <v>closed</v>
          </cell>
        </row>
        <row r="133">
          <cell r="A133" t="str">
            <v>125</v>
          </cell>
          <cell r="B133" t="str">
            <v>Feb</v>
          </cell>
          <cell r="C133" t="str">
            <v>A</v>
          </cell>
          <cell r="D133">
            <v>38764</v>
          </cell>
          <cell r="E133" t="str">
            <v>Prepare handouts for participants in weekly review meeting</v>
          </cell>
          <cell r="F133" t="str">
            <v>Anjali</v>
          </cell>
          <cell r="G133">
            <v>38764</v>
          </cell>
          <cell r="H133" t="str">
            <v>-</v>
          </cell>
          <cell r="I133">
            <v>38764</v>
          </cell>
          <cell r="J133" t="str">
            <v>closed</v>
          </cell>
        </row>
        <row r="134">
          <cell r="A134" t="str">
            <v>126</v>
          </cell>
          <cell r="B134" t="str">
            <v>Feb</v>
          </cell>
          <cell r="C134" t="str">
            <v>A</v>
          </cell>
          <cell r="D134">
            <v>38764</v>
          </cell>
          <cell r="E134" t="str">
            <v>Modify presentation on OHSAS 18001 for today's review meeting with members</v>
          </cell>
          <cell r="F134" t="str">
            <v>Anjali</v>
          </cell>
          <cell r="G134">
            <v>38764</v>
          </cell>
          <cell r="H134" t="str">
            <v>-</v>
          </cell>
          <cell r="I134">
            <v>38764</v>
          </cell>
          <cell r="J134" t="str">
            <v>closed</v>
          </cell>
        </row>
        <row r="135">
          <cell r="A135" t="str">
            <v>127</v>
          </cell>
          <cell r="B135" t="str">
            <v>Feb</v>
          </cell>
          <cell r="C135" t="str">
            <v>A</v>
          </cell>
          <cell r="D135">
            <v>38764</v>
          </cell>
          <cell r="E135" t="str">
            <v>Modify presentation on SA 8000 for today's review</v>
          </cell>
          <cell r="F135" t="str">
            <v>Devang</v>
          </cell>
          <cell r="G135">
            <v>38764</v>
          </cell>
          <cell r="H135" t="str">
            <v>-</v>
          </cell>
          <cell r="I135">
            <v>38764</v>
          </cell>
          <cell r="J135" t="str">
            <v>closed</v>
          </cell>
        </row>
        <row r="136">
          <cell r="A136" t="str">
            <v>128</v>
          </cell>
          <cell r="B136" t="str">
            <v>Feb</v>
          </cell>
          <cell r="C136" t="str">
            <v>A</v>
          </cell>
          <cell r="D136">
            <v>38764</v>
          </cell>
          <cell r="E136" t="str">
            <v xml:space="preserve">Send Minutes of Kick-off meeting to all members </v>
          </cell>
          <cell r="F136" t="str">
            <v>Anjali</v>
          </cell>
          <cell r="G136">
            <v>38765</v>
          </cell>
          <cell r="H136" t="str">
            <v>-</v>
          </cell>
          <cell r="I136">
            <v>38765</v>
          </cell>
          <cell r="J136" t="str">
            <v>closed</v>
          </cell>
        </row>
        <row r="137">
          <cell r="A137" t="str">
            <v>129</v>
          </cell>
          <cell r="B137" t="str">
            <v>Feb</v>
          </cell>
          <cell r="C137" t="str">
            <v>A</v>
          </cell>
          <cell r="D137">
            <v>38764</v>
          </cell>
          <cell r="E137" t="str">
            <v>Purhcase OHSAS 18001:1999 Standards</v>
          </cell>
          <cell r="F137" t="str">
            <v>Vasuki</v>
          </cell>
          <cell r="G137">
            <v>38776</v>
          </cell>
          <cell r="H137" t="str">
            <v>-</v>
          </cell>
          <cell r="J137" t="str">
            <v>closed</v>
          </cell>
        </row>
        <row r="138">
          <cell r="A138" t="str">
            <v>130</v>
          </cell>
          <cell r="B138" t="str">
            <v>Feb</v>
          </cell>
          <cell r="C138" t="str">
            <v>A</v>
          </cell>
          <cell r="D138">
            <v>38764</v>
          </cell>
          <cell r="E138" t="str">
            <v>Include On-going status in the CAPA summary</v>
          </cell>
          <cell r="F138" t="str">
            <v>Vasuki</v>
          </cell>
          <cell r="G138">
            <v>38764</v>
          </cell>
          <cell r="H138" t="str">
            <v>-</v>
          </cell>
          <cell r="J138" t="str">
            <v>closed</v>
          </cell>
        </row>
        <row r="139">
          <cell r="A139" t="str">
            <v>131</v>
          </cell>
          <cell r="B139" t="str">
            <v>Feb</v>
          </cell>
          <cell r="C139" t="str">
            <v>A</v>
          </cell>
          <cell r="D139">
            <v>38764</v>
          </cell>
          <cell r="E139" t="str">
            <v>Study the CAPA summary and give suggestions for improvement</v>
          </cell>
          <cell r="F139" t="str">
            <v>Vasuki</v>
          </cell>
          <cell r="G139">
            <v>38770</v>
          </cell>
          <cell r="H139" t="str">
            <v>-</v>
          </cell>
          <cell r="J139" t="str">
            <v>Open</v>
          </cell>
        </row>
        <row r="140">
          <cell r="A140" t="str">
            <v>132</v>
          </cell>
          <cell r="B140" t="str">
            <v>Feb</v>
          </cell>
          <cell r="C140" t="str">
            <v>A</v>
          </cell>
          <cell r="D140">
            <v>38765</v>
          </cell>
          <cell r="E140" t="str">
            <v>OHS Policy to be revised based upon feedback from the participants and draft to be prepared</v>
          </cell>
          <cell r="F140" t="str">
            <v>Anjali</v>
          </cell>
          <cell r="G140">
            <v>38770</v>
          </cell>
          <cell r="H140" t="str">
            <v>-</v>
          </cell>
          <cell r="I140">
            <v>38769</v>
          </cell>
          <cell r="J140" t="str">
            <v>closed</v>
          </cell>
        </row>
        <row r="141">
          <cell r="A141" t="str">
            <v>133</v>
          </cell>
          <cell r="B141" t="str">
            <v>Feb</v>
          </cell>
          <cell r="C141" t="str">
            <v>A</v>
          </cell>
          <cell r="D141">
            <v>38765</v>
          </cell>
          <cell r="E141" t="str">
            <v>SA Policy to be revised based upon feedback from the participants and draft to be ready</v>
          </cell>
          <cell r="F141" t="str">
            <v>Devang</v>
          </cell>
          <cell r="G141">
            <v>38770</v>
          </cell>
          <cell r="H141" t="str">
            <v>-</v>
          </cell>
          <cell r="I141">
            <v>38769</v>
          </cell>
          <cell r="J141" t="str">
            <v>closed</v>
          </cell>
        </row>
        <row r="142">
          <cell r="A142" t="str">
            <v>134</v>
          </cell>
          <cell r="B142" t="str">
            <v>Feb</v>
          </cell>
          <cell r="C142" t="str">
            <v>A</v>
          </cell>
          <cell r="D142">
            <v>38765</v>
          </cell>
          <cell r="E142" t="str">
            <v>SA 8000 and OHSAS 18001 audit dates</v>
          </cell>
          <cell r="F142" t="str">
            <v>Sukhvinder</v>
          </cell>
          <cell r="G142">
            <v>38839</v>
          </cell>
          <cell r="H142" t="str">
            <v>-</v>
          </cell>
          <cell r="J142" t="str">
            <v>closed</v>
          </cell>
        </row>
        <row r="143">
          <cell r="A143" t="str">
            <v>135</v>
          </cell>
          <cell r="B143" t="str">
            <v>Feb</v>
          </cell>
          <cell r="C143" t="str">
            <v>D</v>
          </cell>
          <cell r="D143">
            <v>38765</v>
          </cell>
          <cell r="E143" t="str">
            <v>All review meetings to have one workshop atleast</v>
          </cell>
          <cell r="F143" t="str">
            <v>Sukhvinder</v>
          </cell>
          <cell r="G143">
            <v>38765</v>
          </cell>
          <cell r="H143" t="str">
            <v>-</v>
          </cell>
          <cell r="J143" t="str">
            <v>closed</v>
          </cell>
        </row>
        <row r="144">
          <cell r="A144" t="str">
            <v>136</v>
          </cell>
          <cell r="B144" t="str">
            <v>Feb</v>
          </cell>
          <cell r="C144" t="str">
            <v>A</v>
          </cell>
          <cell r="D144">
            <v>38765</v>
          </cell>
          <cell r="E144" t="str">
            <v>To obtain the EHS related global requirements from Global Quality department</v>
          </cell>
          <cell r="F144" t="str">
            <v>Sukhvinder</v>
          </cell>
          <cell r="G144">
            <v>38772</v>
          </cell>
          <cell r="H144" t="str">
            <v>-</v>
          </cell>
          <cell r="J144" t="str">
            <v>Open</v>
          </cell>
        </row>
        <row r="145">
          <cell r="A145" t="str">
            <v>137</v>
          </cell>
          <cell r="B145" t="str">
            <v>Feb</v>
          </cell>
          <cell r="C145" t="str">
            <v>A</v>
          </cell>
          <cell r="D145">
            <v>38765</v>
          </cell>
          <cell r="E145" t="str">
            <v>Roadmap format to be modifed as per discussion</v>
          </cell>
          <cell r="F145" t="str">
            <v>Anjali</v>
          </cell>
          <cell r="G145">
            <v>38807</v>
          </cell>
          <cell r="H145" t="str">
            <v>-</v>
          </cell>
          <cell r="J145" t="str">
            <v>Open</v>
          </cell>
        </row>
        <row r="146">
          <cell r="A146" t="str">
            <v>138</v>
          </cell>
          <cell r="B146" t="str">
            <v>Feb</v>
          </cell>
          <cell r="C146" t="str">
            <v>A</v>
          </cell>
          <cell r="D146">
            <v>38765</v>
          </cell>
          <cell r="E146" t="str">
            <v>Send minutes of review meeting for OHSAS 18001 and SA 8000 to all members</v>
          </cell>
          <cell r="F146" t="str">
            <v>Anjali</v>
          </cell>
          <cell r="G146">
            <v>38768</v>
          </cell>
          <cell r="H146" t="str">
            <v>-</v>
          </cell>
          <cell r="I146">
            <v>38765</v>
          </cell>
          <cell r="J146" t="str">
            <v>closed</v>
          </cell>
        </row>
        <row r="147">
          <cell r="A147" t="str">
            <v>139</v>
          </cell>
          <cell r="B147" t="str">
            <v>Feb</v>
          </cell>
          <cell r="C147" t="str">
            <v>A</v>
          </cell>
          <cell r="D147">
            <v>38768</v>
          </cell>
          <cell r="E147" t="str">
            <v>Clear compliance plan to Elcoteq Manual changes</v>
          </cell>
          <cell r="F147" t="str">
            <v>Malini</v>
          </cell>
          <cell r="G147">
            <v>38779</v>
          </cell>
          <cell r="H147" t="str">
            <v>-</v>
          </cell>
          <cell r="J147" t="str">
            <v>closed</v>
          </cell>
        </row>
        <row r="148">
          <cell r="A148" t="str">
            <v>140</v>
          </cell>
          <cell r="B148" t="str">
            <v>Feb</v>
          </cell>
          <cell r="C148" t="str">
            <v>A</v>
          </cell>
          <cell r="D148">
            <v>38768</v>
          </cell>
          <cell r="E148" t="str">
            <v>Quality Objectives to be discussed today</v>
          </cell>
          <cell r="F148" t="str">
            <v>Malini</v>
          </cell>
          <cell r="G148">
            <v>38768</v>
          </cell>
          <cell r="H148">
            <v>38775</v>
          </cell>
          <cell r="J148" t="str">
            <v>closed</v>
          </cell>
        </row>
        <row r="149">
          <cell r="A149" t="str">
            <v>141</v>
          </cell>
          <cell r="B149" t="str">
            <v>Feb</v>
          </cell>
          <cell r="C149" t="str">
            <v>A</v>
          </cell>
          <cell r="D149">
            <v>38768</v>
          </cell>
          <cell r="E149" t="str">
            <v>Environmental Objectives to be discussed today</v>
          </cell>
          <cell r="F149" t="str">
            <v>Anjali</v>
          </cell>
          <cell r="G149">
            <v>38770</v>
          </cell>
          <cell r="I149">
            <v>38770</v>
          </cell>
          <cell r="J149" t="str">
            <v>closed</v>
          </cell>
        </row>
        <row r="150">
          <cell r="A150" t="str">
            <v>142</v>
          </cell>
          <cell r="B150" t="str">
            <v>Feb</v>
          </cell>
          <cell r="C150" t="str">
            <v>A</v>
          </cell>
          <cell r="D150">
            <v>38768</v>
          </cell>
          <cell r="E150" t="str">
            <v>Submit draft OHS Policy to Sukhvinder for MM</v>
          </cell>
          <cell r="F150" t="str">
            <v>Anjali</v>
          </cell>
          <cell r="G150">
            <v>38769</v>
          </cell>
          <cell r="H150" t="str">
            <v>-</v>
          </cell>
          <cell r="I150">
            <v>38769</v>
          </cell>
          <cell r="J150" t="str">
            <v>closed</v>
          </cell>
        </row>
        <row r="151">
          <cell r="A151" t="str">
            <v>143</v>
          </cell>
          <cell r="B151" t="str">
            <v>Feb</v>
          </cell>
          <cell r="C151" t="str">
            <v>A</v>
          </cell>
          <cell r="D151">
            <v>38768</v>
          </cell>
          <cell r="E151" t="str">
            <v>Submit status of RoHS Project to Sukhvinder for MM</v>
          </cell>
          <cell r="F151" t="str">
            <v>Anjali</v>
          </cell>
          <cell r="G151">
            <v>38769</v>
          </cell>
          <cell r="H151" t="str">
            <v>-</v>
          </cell>
          <cell r="I151">
            <v>38769</v>
          </cell>
          <cell r="J151" t="str">
            <v>closed</v>
          </cell>
        </row>
        <row r="152">
          <cell r="A152" t="str">
            <v>144</v>
          </cell>
          <cell r="B152" t="str">
            <v>Feb</v>
          </cell>
          <cell r="C152" t="str">
            <v>A</v>
          </cell>
          <cell r="D152">
            <v>38768</v>
          </cell>
          <cell r="E152" t="str">
            <v xml:space="preserve">Arrange for next weekly review for OHS and SA on 09.03.06 </v>
          </cell>
          <cell r="F152" t="str">
            <v>Anjali</v>
          </cell>
          <cell r="G152">
            <v>38776</v>
          </cell>
          <cell r="H152" t="str">
            <v>-</v>
          </cell>
          <cell r="I152">
            <v>38785</v>
          </cell>
          <cell r="J152" t="str">
            <v>closed</v>
          </cell>
        </row>
        <row r="153">
          <cell r="A153" t="str">
            <v>145</v>
          </cell>
          <cell r="B153" t="str">
            <v>Feb</v>
          </cell>
          <cell r="C153" t="str">
            <v>A</v>
          </cell>
          <cell r="D153">
            <v>38768</v>
          </cell>
          <cell r="E153" t="str">
            <v>Arrange for Quality Masterplan review meeting</v>
          </cell>
          <cell r="F153" t="str">
            <v>Anjali</v>
          </cell>
          <cell r="G153">
            <v>38768</v>
          </cell>
          <cell r="I153">
            <v>38768</v>
          </cell>
          <cell r="J153" t="str">
            <v>closed</v>
          </cell>
        </row>
        <row r="154">
          <cell r="A154" t="str">
            <v>146</v>
          </cell>
          <cell r="B154" t="str">
            <v>Feb</v>
          </cell>
          <cell r="C154" t="str">
            <v>A</v>
          </cell>
          <cell r="D154">
            <v>38768</v>
          </cell>
          <cell r="E154" t="str">
            <v xml:space="preserve">Conduct CIP Project review </v>
          </cell>
          <cell r="F154" t="str">
            <v>Devang</v>
          </cell>
          <cell r="G154">
            <v>38791</v>
          </cell>
          <cell r="H154" t="str">
            <v>-</v>
          </cell>
          <cell r="J154" t="str">
            <v>closed</v>
          </cell>
        </row>
        <row r="155">
          <cell r="A155" t="str">
            <v>147</v>
          </cell>
          <cell r="B155" t="str">
            <v>Feb</v>
          </cell>
          <cell r="C155" t="str">
            <v>A</v>
          </cell>
          <cell r="D155">
            <v>38768</v>
          </cell>
          <cell r="E155" t="str">
            <v>Submit draft SA Policy Sukhvinder for MM</v>
          </cell>
          <cell r="F155" t="str">
            <v>Devang</v>
          </cell>
          <cell r="G155">
            <v>38768</v>
          </cell>
          <cell r="H155" t="str">
            <v>-</v>
          </cell>
          <cell r="I155">
            <v>38769</v>
          </cell>
          <cell r="J155" t="str">
            <v>closed</v>
          </cell>
        </row>
        <row r="156">
          <cell r="A156" t="str">
            <v>148</v>
          </cell>
          <cell r="B156" t="str">
            <v>Feb</v>
          </cell>
          <cell r="C156" t="str">
            <v>A</v>
          </cell>
          <cell r="D156">
            <v>38768</v>
          </cell>
          <cell r="E156" t="str">
            <v>Submit status of automization to Sukhvinder for MM</v>
          </cell>
          <cell r="F156" t="str">
            <v>Devang</v>
          </cell>
          <cell r="G156">
            <v>38768</v>
          </cell>
          <cell r="H156" t="str">
            <v>-</v>
          </cell>
          <cell r="I156">
            <v>38769</v>
          </cell>
          <cell r="J156" t="str">
            <v>closed</v>
          </cell>
        </row>
        <row r="157">
          <cell r="A157" t="str">
            <v>149</v>
          </cell>
          <cell r="B157" t="str">
            <v>Feb</v>
          </cell>
          <cell r="C157" t="str">
            <v>A</v>
          </cell>
          <cell r="D157">
            <v>38768</v>
          </cell>
          <cell r="E157" t="str">
            <v>Submit status for open points of  Customer audits to Sukhvinder for MM</v>
          </cell>
          <cell r="F157" t="str">
            <v>Devang</v>
          </cell>
          <cell r="G157">
            <v>38768</v>
          </cell>
          <cell r="H157" t="str">
            <v>-</v>
          </cell>
          <cell r="I157">
            <v>38769</v>
          </cell>
          <cell r="J157" t="str">
            <v>closed</v>
          </cell>
        </row>
        <row r="158">
          <cell r="A158" t="str">
            <v>150</v>
          </cell>
          <cell r="B158" t="str">
            <v>Feb</v>
          </cell>
          <cell r="C158" t="str">
            <v>A</v>
          </cell>
          <cell r="D158">
            <v>38769</v>
          </cell>
          <cell r="E158" t="str">
            <v>OPIX Formula's to be reviewed from other plants &amp; mail to sukhvinder</v>
          </cell>
          <cell r="F158" t="str">
            <v>Malini</v>
          </cell>
          <cell r="G158">
            <v>38770</v>
          </cell>
          <cell r="J158" t="str">
            <v>closed</v>
          </cell>
        </row>
        <row r="159">
          <cell r="A159" t="str">
            <v>151</v>
          </cell>
          <cell r="B159" t="str">
            <v>Feb</v>
          </cell>
          <cell r="C159" t="str">
            <v>A</v>
          </cell>
          <cell r="D159">
            <v>38769</v>
          </cell>
          <cell r="E159" t="str">
            <v xml:space="preserve">QOS to be updated for hyperlinks </v>
          </cell>
          <cell r="F159" t="str">
            <v>Malini</v>
          </cell>
          <cell r="G159">
            <v>38770</v>
          </cell>
          <cell r="J159" t="str">
            <v>closed</v>
          </cell>
        </row>
        <row r="160">
          <cell r="A160" t="str">
            <v>152</v>
          </cell>
          <cell r="B160" t="str">
            <v>Feb</v>
          </cell>
          <cell r="C160" t="str">
            <v>A</v>
          </cell>
          <cell r="D160">
            <v>38769</v>
          </cell>
          <cell r="E160" t="str">
            <v>Quality policy to be revised based upon revised Global Quality Policy</v>
          </cell>
          <cell r="F160" t="str">
            <v>Malini</v>
          </cell>
          <cell r="G160">
            <v>38770</v>
          </cell>
          <cell r="J160" t="str">
            <v>closed</v>
          </cell>
        </row>
        <row r="161">
          <cell r="A161" t="str">
            <v>153</v>
          </cell>
          <cell r="B161" t="str">
            <v>Feb</v>
          </cell>
          <cell r="C161" t="str">
            <v>A</v>
          </cell>
          <cell r="D161">
            <v>38769</v>
          </cell>
          <cell r="E161" t="str">
            <v>EHS manual to be revised for revision in EHS Policy</v>
          </cell>
          <cell r="F161" t="str">
            <v>Anjali</v>
          </cell>
          <cell r="G161">
            <v>38771</v>
          </cell>
          <cell r="I161">
            <v>38777</v>
          </cell>
          <cell r="J161" t="str">
            <v>closed</v>
          </cell>
        </row>
        <row r="162">
          <cell r="A162" t="str">
            <v>154</v>
          </cell>
          <cell r="B162" t="str">
            <v>Feb</v>
          </cell>
          <cell r="C162" t="str">
            <v>A</v>
          </cell>
          <cell r="D162">
            <v>38769</v>
          </cell>
          <cell r="E162" t="str">
            <v>Quality manual to be revised for revision in quality Policy</v>
          </cell>
          <cell r="F162" t="str">
            <v>Malini</v>
          </cell>
          <cell r="G162">
            <v>38771</v>
          </cell>
          <cell r="J162" t="str">
            <v>closed</v>
          </cell>
        </row>
        <row r="163">
          <cell r="A163" t="str">
            <v>155</v>
          </cell>
          <cell r="B163" t="str">
            <v>Feb</v>
          </cell>
          <cell r="C163" t="str">
            <v>A</v>
          </cell>
          <cell r="D163">
            <v>38769</v>
          </cell>
          <cell r="E163" t="str">
            <v>Visit to Haz. Waste Consignee (M/s Pai &amp; Pai)</v>
          </cell>
          <cell r="F163" t="str">
            <v>Anjali</v>
          </cell>
          <cell r="G163">
            <v>38770</v>
          </cell>
          <cell r="I163">
            <v>38770</v>
          </cell>
          <cell r="J163" t="str">
            <v>closed</v>
          </cell>
        </row>
        <row r="164">
          <cell r="A164" t="str">
            <v>156</v>
          </cell>
          <cell r="B164" t="str">
            <v>Feb</v>
          </cell>
          <cell r="C164" t="str">
            <v>A</v>
          </cell>
          <cell r="D164">
            <v>38769</v>
          </cell>
          <cell r="E164" t="str">
            <v>Visit to Haz. Waste Consignee (M/s M.R Lubricants)</v>
          </cell>
          <cell r="F164" t="str">
            <v>Anjali</v>
          </cell>
          <cell r="G164">
            <v>38770</v>
          </cell>
          <cell r="I164">
            <v>38770</v>
          </cell>
          <cell r="J164" t="str">
            <v>closed</v>
          </cell>
        </row>
        <row r="165">
          <cell r="A165" t="str">
            <v>157</v>
          </cell>
          <cell r="B165" t="str">
            <v>Feb</v>
          </cell>
          <cell r="C165" t="str">
            <v>A</v>
          </cell>
          <cell r="D165">
            <v>38769</v>
          </cell>
          <cell r="E165" t="str">
            <v>Organizational Chart to be modified for updating in the QOS home page</v>
          </cell>
          <cell r="F165" t="str">
            <v>Malini</v>
          </cell>
          <cell r="G165">
            <v>38796</v>
          </cell>
          <cell r="J165" t="str">
            <v>Open</v>
          </cell>
        </row>
        <row r="166">
          <cell r="A166" t="str">
            <v>158</v>
          </cell>
          <cell r="B166" t="str">
            <v>Feb</v>
          </cell>
          <cell r="C166" t="str">
            <v>A</v>
          </cell>
          <cell r="D166">
            <v>38769</v>
          </cell>
          <cell r="E166" t="str">
            <v>Get the Quotation &amp; training details from DNV Chennai</v>
          </cell>
          <cell r="F166" t="str">
            <v>Malini</v>
          </cell>
          <cell r="G166">
            <v>38770</v>
          </cell>
          <cell r="J166" t="str">
            <v>Open</v>
          </cell>
        </row>
        <row r="167">
          <cell r="A167" t="str">
            <v>159</v>
          </cell>
          <cell r="B167" t="str">
            <v>Feb</v>
          </cell>
          <cell r="C167" t="str">
            <v>A</v>
          </cell>
          <cell r="D167">
            <v>38769</v>
          </cell>
          <cell r="E167" t="str">
            <v>Proposal for QOS change under DSCM is given by Yogesh, changes to be discussed with sukhvinder &amp; modify the QOS DSCM Pages.</v>
          </cell>
          <cell r="F167" t="str">
            <v>Malini</v>
          </cell>
          <cell r="G167">
            <v>38777</v>
          </cell>
          <cell r="J167" t="str">
            <v>closed</v>
          </cell>
        </row>
        <row r="168">
          <cell r="A168" t="str">
            <v>160</v>
          </cell>
          <cell r="B168" t="str">
            <v>Feb</v>
          </cell>
          <cell r="C168" t="str">
            <v>A</v>
          </cell>
          <cell r="D168">
            <v>38770</v>
          </cell>
          <cell r="E168" t="str">
            <v>No actions</v>
          </cell>
          <cell r="F168" t="str">
            <v>Devang</v>
          </cell>
          <cell r="G168">
            <v>38770</v>
          </cell>
          <cell r="J168" t="str">
            <v>closed</v>
          </cell>
        </row>
        <row r="169">
          <cell r="A169" t="str">
            <v>161</v>
          </cell>
          <cell r="B169" t="str">
            <v>Feb</v>
          </cell>
          <cell r="C169" t="str">
            <v>A</v>
          </cell>
          <cell r="D169">
            <v>38771</v>
          </cell>
          <cell r="E169" t="str">
            <v>No DMM due to SA 8000 training</v>
          </cell>
          <cell r="F169" t="str">
            <v>Anjali</v>
          </cell>
          <cell r="G169">
            <v>38771</v>
          </cell>
          <cell r="J169" t="str">
            <v>closed</v>
          </cell>
        </row>
        <row r="170">
          <cell r="A170" t="str">
            <v>162</v>
          </cell>
          <cell r="B170" t="str">
            <v>Feb</v>
          </cell>
          <cell r="C170" t="str">
            <v>A</v>
          </cell>
          <cell r="D170">
            <v>38772</v>
          </cell>
          <cell r="E170" t="str">
            <v>No DMM due to SA 8000 training</v>
          </cell>
          <cell r="F170" t="str">
            <v>Anjali</v>
          </cell>
          <cell r="G170">
            <v>38772</v>
          </cell>
          <cell r="J170" t="str">
            <v>closed</v>
          </cell>
        </row>
        <row r="171">
          <cell r="A171" t="str">
            <v>163</v>
          </cell>
          <cell r="B171" t="str">
            <v>Feb</v>
          </cell>
          <cell r="C171" t="str">
            <v>A</v>
          </cell>
          <cell r="D171">
            <v>38775</v>
          </cell>
          <cell r="E171" t="str">
            <v>No additional points</v>
          </cell>
          <cell r="F171" t="str">
            <v>Anjali</v>
          </cell>
          <cell r="G171">
            <v>38775</v>
          </cell>
          <cell r="J171" t="str">
            <v>closed</v>
          </cell>
        </row>
        <row r="172">
          <cell r="A172" t="str">
            <v>164</v>
          </cell>
          <cell r="B172" t="str">
            <v>Feb</v>
          </cell>
          <cell r="C172" t="str">
            <v>A</v>
          </cell>
          <cell r="D172">
            <v>38776</v>
          </cell>
          <cell r="E172" t="str">
            <v>SA Policy to be finalized after incorporating changes discussed during SA 8000 training</v>
          </cell>
          <cell r="F172" t="str">
            <v>Devang</v>
          </cell>
          <cell r="G172">
            <v>38776</v>
          </cell>
          <cell r="H172">
            <v>38777</v>
          </cell>
          <cell r="J172" t="str">
            <v>closed</v>
          </cell>
        </row>
        <row r="173">
          <cell r="A173" t="str">
            <v>165</v>
          </cell>
          <cell r="B173" t="str">
            <v>Feb</v>
          </cell>
          <cell r="C173" t="str">
            <v>A</v>
          </cell>
          <cell r="D173">
            <v>38776</v>
          </cell>
          <cell r="E173" t="str">
            <v>QOS to be updated for all contents</v>
          </cell>
          <cell r="F173" t="str">
            <v>Malini</v>
          </cell>
          <cell r="G173">
            <v>38779</v>
          </cell>
          <cell r="J173" t="str">
            <v>closed</v>
          </cell>
        </row>
        <row r="174">
          <cell r="A174" t="str">
            <v>166</v>
          </cell>
          <cell r="B174" t="str">
            <v>Feb</v>
          </cell>
          <cell r="C174" t="str">
            <v>A</v>
          </cell>
          <cell r="D174">
            <v>38776</v>
          </cell>
          <cell r="E174" t="str">
            <v>OPIX updation to be completed</v>
          </cell>
          <cell r="F174" t="str">
            <v>Malini</v>
          </cell>
          <cell r="G174">
            <v>38777</v>
          </cell>
          <cell r="J174" t="str">
            <v>closed</v>
          </cell>
        </row>
        <row r="175">
          <cell r="A175" t="str">
            <v>167</v>
          </cell>
          <cell r="B175" t="str">
            <v>Feb</v>
          </cell>
          <cell r="C175" t="str">
            <v>A</v>
          </cell>
          <cell r="D175">
            <v>38776</v>
          </cell>
          <cell r="E175" t="str">
            <v>Targets for savings from Projects to be arrived at.</v>
          </cell>
          <cell r="F175" t="str">
            <v>Devang</v>
          </cell>
          <cell r="G175">
            <v>38777</v>
          </cell>
          <cell r="I175">
            <v>38777</v>
          </cell>
          <cell r="J175" t="str">
            <v>closed</v>
          </cell>
        </row>
        <row r="176">
          <cell r="A176" t="str">
            <v>168</v>
          </cell>
          <cell r="B176" t="str">
            <v>Feb</v>
          </cell>
          <cell r="C176" t="str">
            <v>A</v>
          </cell>
          <cell r="D176">
            <v>38776</v>
          </cell>
          <cell r="E176" t="str">
            <v>RoHS audits to be completed</v>
          </cell>
          <cell r="F176" t="str">
            <v>Anjali</v>
          </cell>
          <cell r="G176">
            <v>38783</v>
          </cell>
          <cell r="I176">
            <v>38786</v>
          </cell>
          <cell r="J176" t="str">
            <v>closed</v>
          </cell>
        </row>
        <row r="177">
          <cell r="A177" t="str">
            <v>169</v>
          </cell>
          <cell r="B177" t="str">
            <v>Feb</v>
          </cell>
          <cell r="C177" t="str">
            <v>A</v>
          </cell>
          <cell r="D177">
            <v>38776</v>
          </cell>
          <cell r="E177" t="str">
            <v>Request ELCIA to send Env. legislation updates to Sukhvinder too</v>
          </cell>
          <cell r="F177" t="str">
            <v>Anjali</v>
          </cell>
          <cell r="G177">
            <v>38776</v>
          </cell>
          <cell r="I177">
            <v>38776</v>
          </cell>
          <cell r="J177" t="str">
            <v>closed</v>
          </cell>
        </row>
        <row r="178">
          <cell r="A178" t="str">
            <v>170</v>
          </cell>
          <cell r="B178" t="str">
            <v>Feb</v>
          </cell>
          <cell r="C178" t="str">
            <v>A</v>
          </cell>
          <cell r="D178">
            <v>38776</v>
          </cell>
          <cell r="E178" t="str">
            <v>Call CII, Delhi to confirm availability of legislation updations related to Environment</v>
          </cell>
          <cell r="F178" t="str">
            <v>Anjali</v>
          </cell>
          <cell r="G178">
            <v>38777</v>
          </cell>
          <cell r="I178">
            <v>38779</v>
          </cell>
          <cell r="J178" t="str">
            <v>Closed</v>
          </cell>
        </row>
        <row r="179">
          <cell r="A179" t="str">
            <v>171</v>
          </cell>
          <cell r="B179" t="str">
            <v>Feb</v>
          </cell>
          <cell r="C179" t="str">
            <v>A</v>
          </cell>
          <cell r="D179">
            <v>38776</v>
          </cell>
          <cell r="E179" t="str">
            <v xml:space="preserve">Arrange for CIP review meeting </v>
          </cell>
          <cell r="F179" t="str">
            <v>Devang</v>
          </cell>
          <cell r="G179">
            <v>38822</v>
          </cell>
          <cell r="J179" t="str">
            <v>On-going</v>
          </cell>
        </row>
        <row r="180">
          <cell r="A180" t="str">
            <v>172</v>
          </cell>
          <cell r="B180" t="str">
            <v>Feb</v>
          </cell>
          <cell r="C180" t="str">
            <v>A</v>
          </cell>
          <cell r="D180">
            <v>38776</v>
          </cell>
          <cell r="E180" t="str">
            <v>First Internal audit for the year 2006  (ISO 9k and 14k) to be conducted</v>
          </cell>
          <cell r="F180" t="str">
            <v>Devang</v>
          </cell>
          <cell r="G180">
            <v>38807</v>
          </cell>
          <cell r="J180" t="str">
            <v>Open</v>
          </cell>
        </row>
        <row r="181">
          <cell r="A181" t="str">
            <v>173</v>
          </cell>
          <cell r="B181" t="str">
            <v>Feb</v>
          </cell>
          <cell r="C181" t="str">
            <v>A</v>
          </cell>
          <cell r="D181">
            <v>38776</v>
          </cell>
          <cell r="E181" t="str">
            <v>Training function to be informed to arrange for training on OHS related legal requirements</v>
          </cell>
          <cell r="F181" t="str">
            <v>Anjali</v>
          </cell>
          <cell r="G181">
            <v>38776</v>
          </cell>
          <cell r="I181">
            <v>38776</v>
          </cell>
          <cell r="J181" t="str">
            <v>closed</v>
          </cell>
        </row>
        <row r="182">
          <cell r="A182" t="str">
            <v>174</v>
          </cell>
          <cell r="B182" t="str">
            <v>Mar</v>
          </cell>
          <cell r="C182" t="str">
            <v>A</v>
          </cell>
          <cell r="D182">
            <v>38777</v>
          </cell>
          <cell r="E182" t="str">
            <v>QOS To be Updated before 3rd March</v>
          </cell>
          <cell r="F182" t="str">
            <v>Malini</v>
          </cell>
          <cell r="G182">
            <v>38779</v>
          </cell>
          <cell r="J182" t="str">
            <v>closed</v>
          </cell>
        </row>
        <row r="183">
          <cell r="A183" t="str">
            <v>175</v>
          </cell>
          <cell r="B183" t="str">
            <v>Mar</v>
          </cell>
          <cell r="C183" t="str">
            <v>A</v>
          </cell>
          <cell r="D183">
            <v>38777</v>
          </cell>
          <cell r="E183" t="str">
            <v>CAPA Guidelines to be reviewed by Sukhvinder</v>
          </cell>
          <cell r="F183" t="str">
            <v>Malini</v>
          </cell>
          <cell r="G183">
            <v>38777</v>
          </cell>
          <cell r="J183" t="str">
            <v>closed</v>
          </cell>
        </row>
        <row r="184">
          <cell r="A184" t="str">
            <v>176</v>
          </cell>
          <cell r="B184" t="str">
            <v>Mar</v>
          </cell>
          <cell r="C184" t="str">
            <v>A</v>
          </cell>
          <cell r="D184">
            <v>38777</v>
          </cell>
          <cell r="E184" t="str">
            <v>Quality Plan to be submited to Sukhvinder</v>
          </cell>
          <cell r="F184" t="str">
            <v>Anjali</v>
          </cell>
          <cell r="G184">
            <v>38777</v>
          </cell>
          <cell r="I184">
            <v>38777</v>
          </cell>
          <cell r="J184" t="str">
            <v>closed</v>
          </cell>
        </row>
        <row r="185">
          <cell r="A185" t="str">
            <v>177</v>
          </cell>
          <cell r="B185" t="str">
            <v>Mar</v>
          </cell>
          <cell r="C185" t="str">
            <v>A</v>
          </cell>
          <cell r="D185">
            <v>38777</v>
          </cell>
          <cell r="E185" t="str">
            <v>Quality Plan to be submited to Sukhvinder</v>
          </cell>
          <cell r="F185" t="str">
            <v>Devang</v>
          </cell>
          <cell r="G185">
            <v>38777</v>
          </cell>
          <cell r="H185">
            <v>38786</v>
          </cell>
          <cell r="I185">
            <v>38786</v>
          </cell>
          <cell r="J185" t="str">
            <v>closed</v>
          </cell>
        </row>
        <row r="186">
          <cell r="A186" t="str">
            <v>178</v>
          </cell>
          <cell r="B186" t="str">
            <v>Mar</v>
          </cell>
          <cell r="C186" t="str">
            <v>A</v>
          </cell>
          <cell r="D186">
            <v>38777</v>
          </cell>
          <cell r="E186" t="str">
            <v>Quality Plan to be submited to Sukhvinder</v>
          </cell>
          <cell r="F186" t="str">
            <v>Malini</v>
          </cell>
          <cell r="G186">
            <v>38778</v>
          </cell>
          <cell r="J186" t="str">
            <v>closed</v>
          </cell>
        </row>
        <row r="187">
          <cell r="A187" t="str">
            <v>179</v>
          </cell>
          <cell r="B187" t="str">
            <v>Mar</v>
          </cell>
          <cell r="C187" t="str">
            <v>A</v>
          </cell>
          <cell r="D187">
            <v>38777</v>
          </cell>
          <cell r="E187" t="str">
            <v>Invitation,Room Booking for Final Quality Plan Meeting (On 8th March-06)</v>
          </cell>
          <cell r="F187" t="str">
            <v>Devang</v>
          </cell>
          <cell r="G187">
            <v>38777</v>
          </cell>
          <cell r="I187">
            <v>38777</v>
          </cell>
          <cell r="J187" t="str">
            <v>closed</v>
          </cell>
        </row>
        <row r="188">
          <cell r="A188" t="str">
            <v>180</v>
          </cell>
          <cell r="B188" t="str">
            <v>Mar</v>
          </cell>
          <cell r="C188" t="str">
            <v>A</v>
          </cell>
          <cell r="D188">
            <v>38777</v>
          </cell>
          <cell r="E188" t="str">
            <v>ILO Convacation Register To be prepared</v>
          </cell>
          <cell r="F188" t="str">
            <v>Vasuki</v>
          </cell>
          <cell r="G188">
            <v>38778</v>
          </cell>
          <cell r="J188" t="str">
            <v>closed</v>
          </cell>
        </row>
        <row r="189">
          <cell r="A189" t="str">
            <v>181</v>
          </cell>
          <cell r="B189" t="str">
            <v>Mar</v>
          </cell>
          <cell r="C189" t="str">
            <v>A</v>
          </cell>
          <cell r="D189">
            <v>38777</v>
          </cell>
          <cell r="E189" t="str">
            <v>Online Subscription for Global Comapct</v>
          </cell>
          <cell r="F189" t="str">
            <v>Devang</v>
          </cell>
          <cell r="G189">
            <v>38777</v>
          </cell>
          <cell r="I189">
            <v>38777</v>
          </cell>
          <cell r="J189" t="str">
            <v>closed</v>
          </cell>
        </row>
        <row r="190">
          <cell r="A190" t="str">
            <v>182</v>
          </cell>
          <cell r="B190" t="str">
            <v>Mar</v>
          </cell>
          <cell r="C190" t="str">
            <v>A</v>
          </cell>
          <cell r="D190">
            <v>38777</v>
          </cell>
          <cell r="E190" t="str">
            <v>Discussion &amp; E-mail to be sent for SA8000 requirements to the team members</v>
          </cell>
          <cell r="F190" t="str">
            <v>Devang</v>
          </cell>
          <cell r="G190">
            <v>38777</v>
          </cell>
          <cell r="I190">
            <v>38777</v>
          </cell>
          <cell r="J190" t="str">
            <v>closed</v>
          </cell>
        </row>
        <row r="191">
          <cell r="A191" t="str">
            <v>183</v>
          </cell>
          <cell r="B191" t="str">
            <v>Mar</v>
          </cell>
          <cell r="C191" t="str">
            <v>A</v>
          </cell>
          <cell r="D191">
            <v>38777</v>
          </cell>
          <cell r="E191" t="str">
            <v>CIP Review Plan to be submited</v>
          </cell>
          <cell r="F191" t="str">
            <v>Devang</v>
          </cell>
          <cell r="G191">
            <v>38779</v>
          </cell>
          <cell r="J191" t="str">
            <v>Open</v>
          </cell>
        </row>
        <row r="192">
          <cell r="A192" t="str">
            <v>184</v>
          </cell>
          <cell r="B192" t="str">
            <v>Mar</v>
          </cell>
          <cell r="C192" t="str">
            <v>D</v>
          </cell>
          <cell r="D192">
            <v>38777</v>
          </cell>
          <cell r="E192" t="str">
            <v>Every Alternate Tuesday CAPA summary to be presented to the Team in Morning Meeting</v>
          </cell>
          <cell r="F192" t="str">
            <v>Malini</v>
          </cell>
          <cell r="G192">
            <v>38777</v>
          </cell>
          <cell r="J192" t="str">
            <v>closed</v>
          </cell>
        </row>
        <row r="193">
          <cell r="A193" t="str">
            <v>185</v>
          </cell>
          <cell r="B193" t="str">
            <v>Mar</v>
          </cell>
          <cell r="C193" t="str">
            <v>A</v>
          </cell>
          <cell r="D193">
            <v>38777</v>
          </cell>
          <cell r="E193" t="str">
            <v>CAPA Summary report for Customer audit to be updated</v>
          </cell>
          <cell r="F193" t="str">
            <v>Devang</v>
          </cell>
          <cell r="G193">
            <v>38778</v>
          </cell>
          <cell r="I193">
            <v>38778</v>
          </cell>
          <cell r="J193" t="str">
            <v>closed</v>
          </cell>
        </row>
        <row r="194">
          <cell r="A194" t="str">
            <v>186</v>
          </cell>
          <cell r="B194" t="str">
            <v>Mar</v>
          </cell>
          <cell r="C194" t="str">
            <v>A</v>
          </cell>
          <cell r="D194">
            <v>38777</v>
          </cell>
          <cell r="E194" t="str">
            <v>Submit the Feb monitoring reports to KSPCB</v>
          </cell>
          <cell r="F194" t="str">
            <v>Anjali</v>
          </cell>
          <cell r="G194">
            <v>38779</v>
          </cell>
          <cell r="I194">
            <v>38779</v>
          </cell>
          <cell r="J194" t="str">
            <v>closed</v>
          </cell>
        </row>
        <row r="195">
          <cell r="A195" t="str">
            <v>187</v>
          </cell>
          <cell r="B195" t="str">
            <v>Mar</v>
          </cell>
          <cell r="C195" t="str">
            <v>A</v>
          </cell>
          <cell r="D195">
            <v>38777</v>
          </cell>
          <cell r="E195" t="str">
            <v>Internal Auditor pool to be updated for all standards &amp; send to Linda</v>
          </cell>
          <cell r="F195" t="str">
            <v>Malini</v>
          </cell>
          <cell r="G195">
            <v>38779</v>
          </cell>
          <cell r="J195" t="str">
            <v>closed</v>
          </cell>
        </row>
        <row r="196">
          <cell r="A196" t="str">
            <v>188</v>
          </cell>
          <cell r="B196" t="str">
            <v>Mar</v>
          </cell>
          <cell r="C196" t="str">
            <v>A</v>
          </cell>
          <cell r="D196">
            <v>38782</v>
          </cell>
          <cell r="E196" t="str">
            <v>Conditional Formatting to be applied for BSC file -2006</v>
          </cell>
          <cell r="F196" t="str">
            <v>Malini</v>
          </cell>
          <cell r="G196">
            <v>38782</v>
          </cell>
          <cell r="J196" t="str">
            <v>closed</v>
          </cell>
        </row>
        <row r="197">
          <cell r="A197" t="str">
            <v>189</v>
          </cell>
          <cell r="B197" t="str">
            <v>Mar</v>
          </cell>
          <cell r="C197" t="str">
            <v>A</v>
          </cell>
          <cell r="D197">
            <v>38782</v>
          </cell>
          <cell r="E197" t="str">
            <v>Release of form for Review of Elcoteq Manual changes</v>
          </cell>
          <cell r="F197" t="str">
            <v>Malini</v>
          </cell>
          <cell r="G197">
            <v>38783</v>
          </cell>
          <cell r="J197" t="str">
            <v>closed</v>
          </cell>
        </row>
        <row r="198">
          <cell r="A198" t="str">
            <v>190</v>
          </cell>
          <cell r="B198" t="str">
            <v>Mar</v>
          </cell>
          <cell r="C198" t="str">
            <v>A</v>
          </cell>
          <cell r="D198">
            <v>38782</v>
          </cell>
          <cell r="E198" t="str">
            <v>The Review of Elcoteq Manual changes to be put in K:drive (read only to all)</v>
          </cell>
          <cell r="F198" t="str">
            <v>Malini</v>
          </cell>
          <cell r="G198">
            <v>38783</v>
          </cell>
          <cell r="J198" t="str">
            <v>closed</v>
          </cell>
        </row>
        <row r="199">
          <cell r="A199" t="str">
            <v>191</v>
          </cell>
          <cell r="B199" t="str">
            <v>Mar</v>
          </cell>
          <cell r="C199" t="str">
            <v>A</v>
          </cell>
          <cell r="D199">
            <v>38782</v>
          </cell>
          <cell r="E199" t="str">
            <v>Review of NSR Action plan open Issues</v>
          </cell>
          <cell r="F199" t="str">
            <v>Devang</v>
          </cell>
          <cell r="G199">
            <v>38784</v>
          </cell>
          <cell r="J199" t="str">
            <v>closed</v>
          </cell>
        </row>
        <row r="200">
          <cell r="A200" t="str">
            <v>192</v>
          </cell>
          <cell r="B200" t="str">
            <v>Mar</v>
          </cell>
          <cell r="C200" t="str">
            <v>A</v>
          </cell>
          <cell r="D200">
            <v>38782</v>
          </cell>
          <cell r="E200" t="str">
            <v>Updation of BSC file for Jan &amp; Feb data</v>
          </cell>
          <cell r="F200" t="str">
            <v>Malini</v>
          </cell>
          <cell r="G200">
            <v>38783</v>
          </cell>
          <cell r="J200" t="str">
            <v>closed</v>
          </cell>
        </row>
        <row r="201">
          <cell r="A201" t="str">
            <v>193</v>
          </cell>
          <cell r="B201" t="str">
            <v>Mar</v>
          </cell>
          <cell r="C201" t="str">
            <v>A</v>
          </cell>
          <cell r="D201">
            <v>38782</v>
          </cell>
          <cell r="E201" t="str">
            <v>ICS Plan to be modified</v>
          </cell>
          <cell r="F201" t="str">
            <v>Malini</v>
          </cell>
          <cell r="G201">
            <v>38785</v>
          </cell>
          <cell r="J201" t="str">
            <v>Open</v>
          </cell>
        </row>
        <row r="202">
          <cell r="A202" t="str">
            <v>194</v>
          </cell>
          <cell r="B202" t="str">
            <v>Mar</v>
          </cell>
          <cell r="C202" t="str">
            <v>A</v>
          </cell>
          <cell r="D202">
            <v>38782</v>
          </cell>
          <cell r="E202" t="str">
            <v>Review the Elcoteq Manual changes, mail receved on 6th Mar-06</v>
          </cell>
          <cell r="F202" t="str">
            <v>Malini</v>
          </cell>
          <cell r="G202">
            <v>38784</v>
          </cell>
          <cell r="J202" t="str">
            <v>closed</v>
          </cell>
        </row>
        <row r="203">
          <cell r="A203" t="str">
            <v>195</v>
          </cell>
          <cell r="B203" t="str">
            <v>Mar</v>
          </cell>
          <cell r="C203" t="str">
            <v>D</v>
          </cell>
          <cell r="D203">
            <v>38782</v>
          </cell>
          <cell r="E203" t="str">
            <v>Every Monday Discussion on one Topic by Quality Group. Topic Discussion Matrix to be prepared for the month.</v>
          </cell>
          <cell r="J203" t="str">
            <v/>
          </cell>
        </row>
        <row r="204">
          <cell r="A204" t="str">
            <v>196</v>
          </cell>
          <cell r="B204" t="str">
            <v>Mar</v>
          </cell>
          <cell r="C204" t="str">
            <v>D</v>
          </cell>
          <cell r="D204">
            <v>38782</v>
          </cell>
          <cell r="E204" t="str">
            <v xml:space="preserve">Audit Planning meeting to be conducted </v>
          </cell>
          <cell r="F204" t="str">
            <v>Devang</v>
          </cell>
          <cell r="G204">
            <v>38786</v>
          </cell>
          <cell r="H204">
            <v>38799</v>
          </cell>
          <cell r="J204" t="str">
            <v>Open</v>
          </cell>
        </row>
        <row r="205">
          <cell r="A205" t="str">
            <v>197</v>
          </cell>
          <cell r="B205" t="str">
            <v>Mar</v>
          </cell>
          <cell r="C205" t="str">
            <v>D</v>
          </cell>
          <cell r="D205">
            <v>38782</v>
          </cell>
          <cell r="E205" t="str">
            <v>Annex V points to be closed</v>
          </cell>
          <cell r="F205" t="str">
            <v>Malini</v>
          </cell>
          <cell r="G205">
            <v>38784</v>
          </cell>
          <cell r="J205" t="str">
            <v>closed</v>
          </cell>
        </row>
        <row r="206">
          <cell r="A206" t="str">
            <v>198</v>
          </cell>
          <cell r="B206" t="str">
            <v>Mar</v>
          </cell>
          <cell r="C206" t="str">
            <v>A</v>
          </cell>
          <cell r="D206">
            <v>38782</v>
          </cell>
          <cell r="E206" t="str">
            <v>Self assessment checklist to be completed for 18k</v>
          </cell>
          <cell r="F206" t="str">
            <v>Anjali</v>
          </cell>
          <cell r="G206">
            <v>38789</v>
          </cell>
          <cell r="I206">
            <v>38789</v>
          </cell>
          <cell r="J206" t="str">
            <v>closed</v>
          </cell>
        </row>
        <row r="207">
          <cell r="A207" t="str">
            <v>199</v>
          </cell>
          <cell r="B207" t="str">
            <v>Mar</v>
          </cell>
          <cell r="C207" t="str">
            <v>A</v>
          </cell>
          <cell r="D207">
            <v>38782</v>
          </cell>
          <cell r="E207" t="str">
            <v xml:space="preserve">RoHS presentation  for N-NET meeting </v>
          </cell>
          <cell r="F207" t="str">
            <v>Anjali</v>
          </cell>
          <cell r="G207">
            <v>38782</v>
          </cell>
          <cell r="I207">
            <v>38782</v>
          </cell>
          <cell r="J207" t="str">
            <v>closed</v>
          </cell>
        </row>
        <row r="208">
          <cell r="A208" t="str">
            <v>200</v>
          </cell>
          <cell r="B208" t="str">
            <v>Mar</v>
          </cell>
          <cell r="C208" t="str">
            <v>A</v>
          </cell>
          <cell r="D208">
            <v>38782</v>
          </cell>
          <cell r="E208" t="str">
            <v>DNV trainers' points to be included in the DMM</v>
          </cell>
          <cell r="F208" t="str">
            <v>Anjali</v>
          </cell>
          <cell r="G208">
            <v>38784</v>
          </cell>
          <cell r="I208">
            <v>38783</v>
          </cell>
          <cell r="J208" t="str">
            <v>closed</v>
          </cell>
        </row>
        <row r="209">
          <cell r="A209" t="str">
            <v>201</v>
          </cell>
          <cell r="B209" t="str">
            <v>Mar</v>
          </cell>
          <cell r="C209" t="str">
            <v>A</v>
          </cell>
          <cell r="D209">
            <v>38782</v>
          </cell>
          <cell r="E209" t="str">
            <v>Meeting with SGS representative</v>
          </cell>
          <cell r="F209" t="str">
            <v>Anjali</v>
          </cell>
          <cell r="G209">
            <v>38782</v>
          </cell>
          <cell r="I209">
            <v>38782</v>
          </cell>
          <cell r="J209" t="str">
            <v>closed</v>
          </cell>
        </row>
        <row r="210">
          <cell r="A210" t="str">
            <v>202</v>
          </cell>
          <cell r="B210" t="str">
            <v>Mar</v>
          </cell>
          <cell r="C210" t="str">
            <v>A</v>
          </cell>
          <cell r="D210">
            <v>38782</v>
          </cell>
          <cell r="E210" t="str">
            <v>Update RoHS roadmap</v>
          </cell>
          <cell r="F210" t="str">
            <v>Anjali</v>
          </cell>
          <cell r="G210">
            <v>38782</v>
          </cell>
          <cell r="I210">
            <v>38782</v>
          </cell>
          <cell r="J210" t="str">
            <v>closed</v>
          </cell>
        </row>
        <row r="211">
          <cell r="A211" t="str">
            <v>203</v>
          </cell>
          <cell r="B211" t="str">
            <v>Mar</v>
          </cell>
          <cell r="C211" t="str">
            <v>A</v>
          </cell>
          <cell r="D211">
            <v>38782</v>
          </cell>
          <cell r="E211" t="str">
            <v>Reply to letter from KSPCB related to CETP and send with Consultant</v>
          </cell>
          <cell r="F211" t="str">
            <v>Anjali</v>
          </cell>
          <cell r="G211">
            <v>38783</v>
          </cell>
          <cell r="I211">
            <v>38783</v>
          </cell>
          <cell r="J211" t="str">
            <v>closed</v>
          </cell>
        </row>
        <row r="212">
          <cell r="A212" t="str">
            <v>204</v>
          </cell>
          <cell r="B212" t="str">
            <v>Mar</v>
          </cell>
          <cell r="C212" t="str">
            <v>A</v>
          </cell>
          <cell r="D212">
            <v>38782</v>
          </cell>
          <cell r="E212" t="str">
            <v>Safety risks related to life, property and environment may be addressed in the OHS risks (life and environment must)</v>
          </cell>
          <cell r="F212" t="str">
            <v>Anjali</v>
          </cell>
          <cell r="G212">
            <v>38791</v>
          </cell>
          <cell r="I212">
            <v>38784</v>
          </cell>
          <cell r="J212" t="str">
            <v>closed</v>
          </cell>
        </row>
        <row r="213">
          <cell r="A213" t="str">
            <v>205</v>
          </cell>
          <cell r="B213" t="str">
            <v>Mar</v>
          </cell>
          <cell r="C213" t="str">
            <v>A</v>
          </cell>
          <cell r="D213">
            <v>38782</v>
          </cell>
          <cell r="E213" t="str">
            <v>Establish a communication process with each stakeholder group</v>
          </cell>
          <cell r="F213" t="str">
            <v>Anjali</v>
          </cell>
          <cell r="G213">
            <v>38791</v>
          </cell>
          <cell r="I213">
            <v>38784</v>
          </cell>
          <cell r="J213" t="str">
            <v>closed</v>
          </cell>
        </row>
        <row r="214">
          <cell r="A214" t="str">
            <v>206</v>
          </cell>
          <cell r="B214" t="str">
            <v>Mar</v>
          </cell>
          <cell r="C214" t="str">
            <v>A</v>
          </cell>
          <cell r="D214">
            <v>38782</v>
          </cell>
          <cell r="E214" t="str">
            <v>Nominate a person for communication of plant related OHS requirements</v>
          </cell>
          <cell r="F214" t="str">
            <v>Anjali</v>
          </cell>
          <cell r="G214">
            <v>38791</v>
          </cell>
          <cell r="I214">
            <v>38791</v>
          </cell>
          <cell r="J214" t="str">
            <v>Open</v>
          </cell>
        </row>
        <row r="215">
          <cell r="A215" t="str">
            <v>207</v>
          </cell>
          <cell r="B215" t="str">
            <v>Mar</v>
          </cell>
          <cell r="C215" t="str">
            <v>A</v>
          </cell>
          <cell r="D215">
            <v>38782</v>
          </cell>
          <cell r="E215" t="str">
            <v>Internal survey of employees and feedback on what they feel about the OHS system as of now and their suggestions for improvement (50:50 of operators / management at least)</v>
          </cell>
          <cell r="F215" t="str">
            <v>Anjali</v>
          </cell>
          <cell r="G215">
            <v>38791</v>
          </cell>
          <cell r="I215">
            <v>38793</v>
          </cell>
          <cell r="J215" t="str">
            <v>Open</v>
          </cell>
        </row>
        <row r="216">
          <cell r="A216" t="str">
            <v>208</v>
          </cell>
          <cell r="B216" t="str">
            <v>Mar</v>
          </cell>
          <cell r="C216" t="str">
            <v>A</v>
          </cell>
          <cell r="D216">
            <v>38782</v>
          </cell>
          <cell r="E216" t="str">
            <v>Communication and consultation proof for risk assessment (with all employees)</v>
          </cell>
          <cell r="F216" t="str">
            <v>Anjali</v>
          </cell>
          <cell r="G216">
            <v>38791</v>
          </cell>
          <cell r="I216">
            <v>38791</v>
          </cell>
          <cell r="J216" t="str">
            <v>Open</v>
          </cell>
        </row>
        <row r="217">
          <cell r="A217" t="str">
            <v>209</v>
          </cell>
          <cell r="B217" t="str">
            <v>Mar</v>
          </cell>
          <cell r="C217" t="str">
            <v>A</v>
          </cell>
          <cell r="D217">
            <v>38782</v>
          </cell>
          <cell r="E217" t="str">
            <v>External audits to be conducted (Legal, Fire Safety, Building Safety)</v>
          </cell>
          <cell r="F217" t="str">
            <v>Devang</v>
          </cell>
          <cell r="G217">
            <v>38806</v>
          </cell>
          <cell r="J217" t="str">
            <v>Open</v>
          </cell>
        </row>
        <row r="218">
          <cell r="A218" t="str">
            <v>210</v>
          </cell>
          <cell r="B218" t="str">
            <v>Mar</v>
          </cell>
          <cell r="C218" t="str">
            <v>A</v>
          </cell>
          <cell r="D218">
            <v>38782</v>
          </cell>
          <cell r="E218" t="str">
            <v>OHS shall address "Managing risks"and "Controlling accidental loss".</v>
          </cell>
          <cell r="F218" t="str">
            <v>Anjali</v>
          </cell>
          <cell r="G218">
            <v>38791</v>
          </cell>
          <cell r="I218">
            <v>38791</v>
          </cell>
          <cell r="J218" t="str">
            <v>Open</v>
          </cell>
        </row>
        <row r="219">
          <cell r="A219" t="str">
            <v>211</v>
          </cell>
          <cell r="B219" t="str">
            <v>Mar</v>
          </cell>
          <cell r="C219" t="str">
            <v>A</v>
          </cell>
          <cell r="D219">
            <v>38782</v>
          </cell>
          <cell r="E219" t="str">
            <v>System to identify near accidents (incidents ). System can be self reporting, suggestion boxes, safety rounds etc.</v>
          </cell>
          <cell r="F219" t="str">
            <v>Anjali</v>
          </cell>
          <cell r="G219">
            <v>38791</v>
          </cell>
          <cell r="I219">
            <v>38791</v>
          </cell>
          <cell r="J219" t="str">
            <v>Open</v>
          </cell>
        </row>
        <row r="220">
          <cell r="A220" t="str">
            <v>212</v>
          </cell>
          <cell r="B220" t="str">
            <v>Mar</v>
          </cell>
          <cell r="C220" t="str">
            <v>A</v>
          </cell>
          <cell r="D220">
            <v>38782</v>
          </cell>
          <cell r="E220" t="str">
            <v>Conduct a bacterial testing for air and water</v>
          </cell>
          <cell r="F220" t="str">
            <v>Anjali</v>
          </cell>
          <cell r="G220">
            <v>38807</v>
          </cell>
          <cell r="J220" t="str">
            <v>Open</v>
          </cell>
        </row>
        <row r="221">
          <cell r="A221" t="str">
            <v>213</v>
          </cell>
          <cell r="B221" t="str">
            <v>Mar</v>
          </cell>
          <cell r="C221" t="str">
            <v>A</v>
          </cell>
          <cell r="D221">
            <v>38782</v>
          </cell>
          <cell r="E221" t="str">
            <v>Define top management in the manual</v>
          </cell>
          <cell r="F221" t="str">
            <v>Anjali</v>
          </cell>
          <cell r="G221">
            <v>38791</v>
          </cell>
          <cell r="I221">
            <v>38784</v>
          </cell>
          <cell r="J221" t="str">
            <v>Open</v>
          </cell>
        </row>
        <row r="222">
          <cell r="A222" t="str">
            <v>214</v>
          </cell>
          <cell r="B222" t="str">
            <v>Mar</v>
          </cell>
          <cell r="C222" t="str">
            <v>A</v>
          </cell>
          <cell r="D222">
            <v>38782</v>
          </cell>
          <cell r="E222" t="str">
            <v>Subscribe for environmental  and OHS legislation update</v>
          </cell>
          <cell r="F222" t="str">
            <v>Anjali</v>
          </cell>
          <cell r="G222">
            <v>38791</v>
          </cell>
          <cell r="J222" t="str">
            <v>Open</v>
          </cell>
        </row>
        <row r="223">
          <cell r="A223" t="str">
            <v>215</v>
          </cell>
          <cell r="B223" t="str">
            <v>Mar</v>
          </cell>
          <cell r="C223" t="str">
            <v>A</v>
          </cell>
          <cell r="D223">
            <v>38782</v>
          </cell>
          <cell r="E223" t="str">
            <v>Indian Standard Codes for OHS</v>
          </cell>
          <cell r="F223" t="str">
            <v>Anjali</v>
          </cell>
          <cell r="G223">
            <v>38811</v>
          </cell>
          <cell r="J223" t="str">
            <v>Open</v>
          </cell>
        </row>
        <row r="224">
          <cell r="A224" t="str">
            <v>216</v>
          </cell>
          <cell r="B224" t="str">
            <v>Mar</v>
          </cell>
          <cell r="C224" t="str">
            <v>A</v>
          </cell>
          <cell r="D224">
            <v>38782</v>
          </cell>
          <cell r="E224" t="str">
            <v>EQMS OHS legislation updates subscription</v>
          </cell>
          <cell r="F224" t="str">
            <v>Anjali</v>
          </cell>
          <cell r="G224">
            <v>38811</v>
          </cell>
          <cell r="J224" t="str">
            <v>Open</v>
          </cell>
        </row>
        <row r="225">
          <cell r="A225" t="str">
            <v>217</v>
          </cell>
          <cell r="B225" t="str">
            <v>Mar</v>
          </cell>
          <cell r="C225" t="str">
            <v>A</v>
          </cell>
          <cell r="D225">
            <v>38782</v>
          </cell>
          <cell r="E225" t="str">
            <v>Task observation to be included as a checkpoint in Safety audits</v>
          </cell>
          <cell r="F225" t="str">
            <v>Anjali</v>
          </cell>
          <cell r="G225">
            <v>38791</v>
          </cell>
          <cell r="J225" t="str">
            <v>Open</v>
          </cell>
        </row>
        <row r="226">
          <cell r="A226" t="str">
            <v>218</v>
          </cell>
          <cell r="B226" t="str">
            <v>Mar</v>
          </cell>
          <cell r="C226" t="str">
            <v>A</v>
          </cell>
          <cell r="D226">
            <v>38782</v>
          </cell>
          <cell r="E226" t="str">
            <v>Include attitude in competence evaluation</v>
          </cell>
          <cell r="F226" t="str">
            <v>Anjali</v>
          </cell>
          <cell r="G226">
            <v>38791</v>
          </cell>
          <cell r="J226" t="str">
            <v>Open</v>
          </cell>
        </row>
        <row r="227">
          <cell r="A227" t="str">
            <v>219</v>
          </cell>
          <cell r="B227" t="str">
            <v>Mar</v>
          </cell>
          <cell r="C227" t="str">
            <v>A</v>
          </cell>
          <cell r="D227">
            <v>38782</v>
          </cell>
          <cell r="E227" t="str">
            <v>Arrange for First aid training, CPR training</v>
          </cell>
          <cell r="F227" t="str">
            <v>Anjali</v>
          </cell>
          <cell r="G227">
            <v>38806</v>
          </cell>
          <cell r="J227" t="str">
            <v>Open</v>
          </cell>
        </row>
        <row r="228">
          <cell r="A228" t="str">
            <v>220</v>
          </cell>
          <cell r="B228" t="str">
            <v>Mar</v>
          </cell>
          <cell r="C228" t="str">
            <v>A</v>
          </cell>
          <cell r="D228">
            <v>38782</v>
          </cell>
          <cell r="E228" t="str">
            <v>Risk register to include link to corresponding SOPs</v>
          </cell>
          <cell r="F228" t="str">
            <v>Anjali</v>
          </cell>
          <cell r="G228">
            <v>38791</v>
          </cell>
          <cell r="J228" t="str">
            <v>Open</v>
          </cell>
        </row>
        <row r="229">
          <cell r="A229" t="str">
            <v>221</v>
          </cell>
          <cell r="B229" t="str">
            <v>Mar</v>
          </cell>
          <cell r="C229" t="str">
            <v>A</v>
          </cell>
          <cell r="D229">
            <v>38782</v>
          </cell>
          <cell r="E229" t="str">
            <v>Measures to be taken by management to improve safety inspections</v>
          </cell>
          <cell r="F229" t="str">
            <v>Anjali</v>
          </cell>
          <cell r="G229">
            <v>38800</v>
          </cell>
          <cell r="J229" t="str">
            <v>Open</v>
          </cell>
        </row>
        <row r="230">
          <cell r="A230" t="str">
            <v>222</v>
          </cell>
          <cell r="B230" t="str">
            <v>Mar</v>
          </cell>
          <cell r="C230" t="str">
            <v>A</v>
          </cell>
          <cell r="D230">
            <v>38782</v>
          </cell>
          <cell r="E230" t="str">
            <v>Revise EHS monitoring plan to include periodic medical examination</v>
          </cell>
          <cell r="F230" t="str">
            <v>Anjali</v>
          </cell>
          <cell r="G230">
            <v>38806</v>
          </cell>
          <cell r="J230" t="str">
            <v>Open</v>
          </cell>
        </row>
        <row r="231">
          <cell r="A231" t="str">
            <v>223</v>
          </cell>
          <cell r="B231" t="str">
            <v>Mar</v>
          </cell>
          <cell r="C231" t="str">
            <v>A</v>
          </cell>
          <cell r="D231">
            <v>38782</v>
          </cell>
          <cell r="E231" t="str">
            <v>Prepare inventory of single man activities as part of monitoring and measurement</v>
          </cell>
          <cell r="F231" t="str">
            <v>Anjali</v>
          </cell>
          <cell r="G231">
            <v>38804</v>
          </cell>
          <cell r="J231" t="str">
            <v>Open</v>
          </cell>
        </row>
        <row r="232">
          <cell r="A232" t="str">
            <v>224</v>
          </cell>
          <cell r="B232" t="str">
            <v>Mar</v>
          </cell>
          <cell r="C232" t="str">
            <v>A</v>
          </cell>
          <cell r="D232">
            <v>38782</v>
          </cell>
          <cell r="E232" t="str">
            <v>Plan for critical parts inspections for all equipment</v>
          </cell>
          <cell r="F232" t="str">
            <v>Anjali</v>
          </cell>
          <cell r="G232">
            <v>38804</v>
          </cell>
          <cell r="J232" t="str">
            <v>Open</v>
          </cell>
        </row>
        <row r="233">
          <cell r="A233" t="str">
            <v>225</v>
          </cell>
          <cell r="B233" t="str">
            <v>Mar</v>
          </cell>
          <cell r="C233" t="str">
            <v>A</v>
          </cell>
          <cell r="D233">
            <v>38782</v>
          </cell>
          <cell r="E233" t="str">
            <v xml:space="preserve">Include in the NC procedure the modes of OHS failure </v>
          </cell>
          <cell r="F233" t="str">
            <v>Anjali</v>
          </cell>
          <cell r="G233">
            <v>38791</v>
          </cell>
          <cell r="J233" t="str">
            <v>Open</v>
          </cell>
        </row>
        <row r="234">
          <cell r="A234" t="str">
            <v>226</v>
          </cell>
          <cell r="B234" t="str">
            <v>Mar</v>
          </cell>
          <cell r="C234" t="str">
            <v>A</v>
          </cell>
          <cell r="D234">
            <v>38782</v>
          </cell>
          <cell r="E234" t="str">
            <v>Include in the Preventive action procedure OHS details</v>
          </cell>
          <cell r="F234" t="str">
            <v>Anjali</v>
          </cell>
          <cell r="G234">
            <v>38791</v>
          </cell>
          <cell r="J234" t="str">
            <v>Open</v>
          </cell>
        </row>
        <row r="235">
          <cell r="A235" t="str">
            <v>227</v>
          </cell>
          <cell r="B235" t="str">
            <v>Mar</v>
          </cell>
          <cell r="C235" t="str">
            <v>A</v>
          </cell>
          <cell r="D235">
            <v>38782</v>
          </cell>
          <cell r="E235" t="str">
            <v>Procure MSDS for physical materials</v>
          </cell>
          <cell r="F235" t="str">
            <v>Anjali</v>
          </cell>
          <cell r="G235">
            <v>38807</v>
          </cell>
          <cell r="J235" t="str">
            <v>Open</v>
          </cell>
        </row>
        <row r="236">
          <cell r="A236" t="str">
            <v>228</v>
          </cell>
          <cell r="B236" t="str">
            <v>Mar</v>
          </cell>
          <cell r="C236" t="str">
            <v>A</v>
          </cell>
          <cell r="D236">
            <v>38784</v>
          </cell>
          <cell r="E236" t="str">
            <v>CIP Closer Review Meeting with the Teams</v>
          </cell>
          <cell r="F236" t="str">
            <v>Devang</v>
          </cell>
          <cell r="G236">
            <v>38801</v>
          </cell>
          <cell r="H236">
            <v>38801</v>
          </cell>
          <cell r="J236" t="str">
            <v>Open</v>
          </cell>
        </row>
        <row r="237">
          <cell r="A237" t="str">
            <v>229</v>
          </cell>
          <cell r="B237" t="str">
            <v>Mar</v>
          </cell>
          <cell r="C237" t="str">
            <v>A</v>
          </cell>
          <cell r="D237">
            <v>38784</v>
          </cell>
          <cell r="E237" t="str">
            <v>OSHAS Self Assesment checklist submission</v>
          </cell>
          <cell r="F237" t="str">
            <v>Anjali</v>
          </cell>
          <cell r="G237">
            <v>38789</v>
          </cell>
          <cell r="J237" t="str">
            <v>closed</v>
          </cell>
        </row>
        <row r="238">
          <cell r="A238" t="str">
            <v>230</v>
          </cell>
          <cell r="B238" t="str">
            <v>Mar</v>
          </cell>
          <cell r="C238" t="str">
            <v>A</v>
          </cell>
          <cell r="D238">
            <v>38784</v>
          </cell>
          <cell r="E238" t="str">
            <v>SA 8000 self Assesment checklist submission</v>
          </cell>
          <cell r="F238" t="str">
            <v>Devang</v>
          </cell>
          <cell r="G238">
            <v>38791</v>
          </cell>
          <cell r="I238">
            <v>38788</v>
          </cell>
          <cell r="J238" t="str">
            <v>closed</v>
          </cell>
        </row>
        <row r="239">
          <cell r="A239" t="str">
            <v>231</v>
          </cell>
          <cell r="B239" t="str">
            <v>Mar</v>
          </cell>
          <cell r="C239" t="str">
            <v>A</v>
          </cell>
          <cell r="D239">
            <v>38784</v>
          </cell>
          <cell r="E239" t="str">
            <v>Training conducted list for this month to be given for Quality Meeting</v>
          </cell>
          <cell r="F239" t="str">
            <v>Anjali</v>
          </cell>
          <cell r="G239">
            <v>38791</v>
          </cell>
          <cell r="I239">
            <v>38792</v>
          </cell>
          <cell r="J239" t="str">
            <v>closed</v>
          </cell>
        </row>
        <row r="240">
          <cell r="A240" t="str">
            <v>232</v>
          </cell>
          <cell r="B240" t="str">
            <v>Mar</v>
          </cell>
          <cell r="C240" t="str">
            <v>A</v>
          </cell>
          <cell r="D240">
            <v>38784</v>
          </cell>
          <cell r="E240" t="str">
            <v>Prepare guideline for Risk Assesment for OHS</v>
          </cell>
          <cell r="F240" t="str">
            <v>Anjali</v>
          </cell>
          <cell r="G240">
            <v>38785</v>
          </cell>
          <cell r="J240" t="str">
            <v>closed</v>
          </cell>
        </row>
        <row r="241">
          <cell r="A241" t="str">
            <v>233</v>
          </cell>
          <cell r="B241" t="str">
            <v>Mar</v>
          </cell>
          <cell r="C241" t="str">
            <v>A</v>
          </cell>
          <cell r="D241">
            <v>38784</v>
          </cell>
          <cell r="E241" t="str">
            <v>BSC sheet all the open cells to be locked with Password</v>
          </cell>
          <cell r="F241" t="str">
            <v>Malini</v>
          </cell>
          <cell r="G241">
            <v>38785</v>
          </cell>
          <cell r="J241" t="str">
            <v>closed</v>
          </cell>
        </row>
        <row r="242">
          <cell r="A242" t="str">
            <v>234</v>
          </cell>
          <cell r="B242" t="str">
            <v>Mar</v>
          </cell>
          <cell r="C242" t="str">
            <v>A</v>
          </cell>
          <cell r="D242">
            <v>38784</v>
          </cell>
          <cell r="E242" t="str">
            <v>Colour Scheme to be changed in BSC</v>
          </cell>
          <cell r="F242" t="str">
            <v>Malini</v>
          </cell>
          <cell r="G242">
            <v>38785</v>
          </cell>
          <cell r="J242" t="str">
            <v>closed</v>
          </cell>
        </row>
        <row r="243">
          <cell r="A243" t="str">
            <v>235</v>
          </cell>
          <cell r="B243" t="str">
            <v>Mar</v>
          </cell>
          <cell r="C243" t="str">
            <v>A</v>
          </cell>
          <cell r="D243">
            <v>38784</v>
          </cell>
          <cell r="E243" t="str">
            <v>Link to be provided for all the Functional BSC to the company BSC</v>
          </cell>
          <cell r="F243" t="str">
            <v>Malini</v>
          </cell>
          <cell r="G243">
            <v>38785</v>
          </cell>
          <cell r="J243" t="str">
            <v>closed</v>
          </cell>
        </row>
        <row r="244">
          <cell r="A244" t="str">
            <v>236</v>
          </cell>
          <cell r="B244" t="str">
            <v>Mar</v>
          </cell>
          <cell r="C244" t="str">
            <v>A</v>
          </cell>
          <cell r="D244">
            <v>38784</v>
          </cell>
          <cell r="E244" t="str">
            <v>Modification of the document control procedure to be done</v>
          </cell>
          <cell r="F244" t="str">
            <v>Malini</v>
          </cell>
          <cell r="G244">
            <v>38790</v>
          </cell>
          <cell r="I244">
            <v>38786</v>
          </cell>
          <cell r="J244" t="str">
            <v>closed</v>
          </cell>
        </row>
        <row r="245">
          <cell r="A245" t="str">
            <v>237</v>
          </cell>
          <cell r="B245" t="str">
            <v>Mar</v>
          </cell>
          <cell r="C245" t="str">
            <v>A</v>
          </cell>
          <cell r="D245">
            <v>38784</v>
          </cell>
          <cell r="E245" t="str">
            <v>CAPA process presentation</v>
          </cell>
          <cell r="F245" t="str">
            <v>Malini</v>
          </cell>
          <cell r="G245">
            <v>38797</v>
          </cell>
          <cell r="J245" t="str">
            <v>Open</v>
          </cell>
        </row>
        <row r="246">
          <cell r="A246" t="str">
            <v>238</v>
          </cell>
          <cell r="B246" t="str">
            <v>Mar</v>
          </cell>
          <cell r="C246" t="str">
            <v>A</v>
          </cell>
          <cell r="D246">
            <v>38784</v>
          </cell>
          <cell r="E246" t="str">
            <v>Customer complaints Escalation Process</v>
          </cell>
          <cell r="F246" t="str">
            <v>Malini</v>
          </cell>
          <cell r="G246">
            <v>38797</v>
          </cell>
          <cell r="J246" t="str">
            <v>Open</v>
          </cell>
        </row>
        <row r="247">
          <cell r="A247" t="str">
            <v>239</v>
          </cell>
          <cell r="B247" t="str">
            <v>Mar</v>
          </cell>
          <cell r="C247" t="str">
            <v>A</v>
          </cell>
          <cell r="D247">
            <v>38785</v>
          </cell>
          <cell r="E247" t="str">
            <v>Prepare EHS presentation for visitor</v>
          </cell>
          <cell r="F247" t="str">
            <v>Anjali</v>
          </cell>
          <cell r="G247">
            <v>38785</v>
          </cell>
          <cell r="I247">
            <v>38785</v>
          </cell>
          <cell r="J247" t="str">
            <v>closed</v>
          </cell>
        </row>
        <row r="248">
          <cell r="A248" t="str">
            <v>240</v>
          </cell>
          <cell r="B248" t="str">
            <v>Mar</v>
          </cell>
          <cell r="C248" t="str">
            <v>A</v>
          </cell>
          <cell r="D248">
            <v>38785</v>
          </cell>
          <cell r="E248" t="str">
            <v>Prepare employee risk assessment template</v>
          </cell>
          <cell r="F248" t="str">
            <v>Anjali</v>
          </cell>
          <cell r="G248">
            <v>38785</v>
          </cell>
          <cell r="I248">
            <v>38785</v>
          </cell>
          <cell r="J248" t="str">
            <v>closed</v>
          </cell>
        </row>
        <row r="249">
          <cell r="A249" t="str">
            <v>241</v>
          </cell>
          <cell r="B249" t="str">
            <v>Mar</v>
          </cell>
          <cell r="C249" t="str">
            <v>A</v>
          </cell>
          <cell r="D249">
            <v>38785</v>
          </cell>
          <cell r="E249" t="str">
            <v xml:space="preserve">Enquire for membership discount from CII </v>
          </cell>
          <cell r="F249" t="str">
            <v>Anjali</v>
          </cell>
          <cell r="G249">
            <v>38785</v>
          </cell>
          <cell r="I249">
            <v>38785</v>
          </cell>
          <cell r="J249" t="str">
            <v>closed</v>
          </cell>
        </row>
        <row r="250">
          <cell r="A250" t="str">
            <v>242</v>
          </cell>
          <cell r="B250" t="str">
            <v>Mar</v>
          </cell>
          <cell r="C250" t="str">
            <v>A</v>
          </cell>
          <cell r="D250">
            <v>38785</v>
          </cell>
          <cell r="E250" t="str">
            <v>Corp. Reporting Changes E-mail Reply</v>
          </cell>
          <cell r="F250" t="str">
            <v>Anjali</v>
          </cell>
          <cell r="G250">
            <v>38786</v>
          </cell>
          <cell r="J250" t="str">
            <v>closed</v>
          </cell>
        </row>
        <row r="251">
          <cell r="A251" t="str">
            <v>243</v>
          </cell>
          <cell r="B251" t="str">
            <v>Mar</v>
          </cell>
          <cell r="C251" t="str">
            <v>A</v>
          </cell>
          <cell r="D251">
            <v>38785</v>
          </cell>
          <cell r="E251" t="str">
            <v>First CIP Review prepration to be done</v>
          </cell>
          <cell r="F251" t="str">
            <v>Devang</v>
          </cell>
          <cell r="G251">
            <v>38789</v>
          </cell>
          <cell r="J251" t="str">
            <v>closed</v>
          </cell>
        </row>
        <row r="252">
          <cell r="A252" t="str">
            <v>244</v>
          </cell>
          <cell r="B252" t="str">
            <v>Mar</v>
          </cell>
          <cell r="C252" t="str">
            <v>A</v>
          </cell>
          <cell r="D252">
            <v>38785</v>
          </cell>
          <cell r="E252" t="str">
            <v>Formation of Annex V team</v>
          </cell>
          <cell r="F252" t="str">
            <v>Malini</v>
          </cell>
          <cell r="G252">
            <v>38789</v>
          </cell>
          <cell r="J252" t="str">
            <v>Open</v>
          </cell>
        </row>
        <row r="253">
          <cell r="A253" t="str">
            <v>245</v>
          </cell>
          <cell r="B253" t="str">
            <v>Mar</v>
          </cell>
          <cell r="C253" t="str">
            <v>A</v>
          </cell>
          <cell r="D253">
            <v>38785</v>
          </cell>
          <cell r="E253" t="str">
            <v>Preparation for training on Annex V</v>
          </cell>
          <cell r="F253" t="str">
            <v>Malini</v>
          </cell>
          <cell r="G253">
            <v>38790</v>
          </cell>
          <cell r="J253" t="str">
            <v>Open</v>
          </cell>
        </row>
        <row r="254">
          <cell r="A254" t="str">
            <v>246</v>
          </cell>
          <cell r="B254" t="str">
            <v>Mar</v>
          </cell>
          <cell r="C254" t="str">
            <v>A</v>
          </cell>
          <cell r="D254">
            <v>38785</v>
          </cell>
          <cell r="E254" t="str">
            <v>Gap analysis for Annex V</v>
          </cell>
          <cell r="F254" t="str">
            <v>Malini</v>
          </cell>
          <cell r="G254">
            <v>38792</v>
          </cell>
          <cell r="J254" t="str">
            <v>Open</v>
          </cell>
        </row>
        <row r="255">
          <cell r="A255" t="str">
            <v>247</v>
          </cell>
          <cell r="B255" t="str">
            <v>Mar</v>
          </cell>
          <cell r="C255" t="str">
            <v>A</v>
          </cell>
          <cell r="D255">
            <v>38785</v>
          </cell>
          <cell r="E255" t="str">
            <v>Document Control Procedure to be modified to include the activity of review on  Elcoteq Manual chagnes</v>
          </cell>
          <cell r="F255" t="str">
            <v>Malini</v>
          </cell>
          <cell r="G255">
            <v>38789</v>
          </cell>
          <cell r="I255">
            <v>38786</v>
          </cell>
          <cell r="J255" t="str">
            <v>closed</v>
          </cell>
        </row>
        <row r="256">
          <cell r="A256" t="str">
            <v>248</v>
          </cell>
          <cell r="B256" t="str">
            <v>Mar</v>
          </cell>
          <cell r="C256" t="str">
            <v>A</v>
          </cell>
          <cell r="D256">
            <v>38785</v>
          </cell>
          <cell r="E256" t="str">
            <v>Master plan timelines report format to be send to all</v>
          </cell>
          <cell r="F256" t="str">
            <v>Malini</v>
          </cell>
          <cell r="G256">
            <v>38785</v>
          </cell>
          <cell r="J256" t="str">
            <v>closed</v>
          </cell>
        </row>
        <row r="257">
          <cell r="A257" t="str">
            <v>249</v>
          </cell>
          <cell r="B257" t="str">
            <v>Mar</v>
          </cell>
          <cell r="C257" t="str">
            <v>A</v>
          </cell>
          <cell r="D257">
            <v>38789</v>
          </cell>
          <cell r="E257" t="str">
            <v>Send mail to Rino on QOS hyperlinks not being functional</v>
          </cell>
          <cell r="F257" t="str">
            <v>Malini</v>
          </cell>
          <cell r="G257">
            <v>38789</v>
          </cell>
          <cell r="I257">
            <v>38789</v>
          </cell>
          <cell r="J257" t="str">
            <v>closed</v>
          </cell>
        </row>
        <row r="258">
          <cell r="A258" t="str">
            <v>250</v>
          </cell>
          <cell r="B258" t="str">
            <v>Mar</v>
          </cell>
          <cell r="C258" t="str">
            <v>A</v>
          </cell>
          <cell r="D258">
            <v>38789</v>
          </cell>
          <cell r="E258" t="str">
            <v>OPIX SAC compiled data to be put in a common folder (QOS / Quality systems)</v>
          </cell>
          <cell r="F258" t="str">
            <v>Malini</v>
          </cell>
          <cell r="G258">
            <v>38789</v>
          </cell>
          <cell r="I258">
            <v>38789</v>
          </cell>
          <cell r="J258" t="str">
            <v>closed</v>
          </cell>
        </row>
        <row r="259">
          <cell r="A259" t="str">
            <v>251</v>
          </cell>
          <cell r="B259" t="str">
            <v>Mar</v>
          </cell>
          <cell r="C259" t="str">
            <v>A</v>
          </cell>
          <cell r="D259">
            <v>38789</v>
          </cell>
          <cell r="E259" t="str">
            <v>Quality Masterplan timlines REPORT to be modified &amp; send to Sukhvinder</v>
          </cell>
          <cell r="F259" t="str">
            <v>Malini</v>
          </cell>
          <cell r="G259">
            <v>38789</v>
          </cell>
          <cell r="J259" t="str">
            <v>Open</v>
          </cell>
        </row>
        <row r="260">
          <cell r="A260" t="str">
            <v>252</v>
          </cell>
          <cell r="B260" t="str">
            <v>Mar</v>
          </cell>
          <cell r="C260" t="str">
            <v>A</v>
          </cell>
          <cell r="D260">
            <v>38789</v>
          </cell>
          <cell r="E260" t="str">
            <v>KPI Targets to be submited</v>
          </cell>
          <cell r="F260" t="str">
            <v>Malini</v>
          </cell>
          <cell r="G260">
            <v>38790</v>
          </cell>
          <cell r="J260" t="str">
            <v>Open</v>
          </cell>
        </row>
        <row r="261">
          <cell r="A261" t="str">
            <v>253</v>
          </cell>
          <cell r="B261" t="str">
            <v>Mar</v>
          </cell>
          <cell r="C261" t="str">
            <v>A</v>
          </cell>
          <cell r="D261">
            <v>38789</v>
          </cell>
          <cell r="E261" t="str">
            <v>Training plan to be finalized for SA 8000</v>
          </cell>
          <cell r="F261" t="str">
            <v>Devang</v>
          </cell>
          <cell r="G261">
            <v>38792</v>
          </cell>
          <cell r="J261" t="str">
            <v>Open</v>
          </cell>
        </row>
        <row r="262">
          <cell r="A262" t="str">
            <v>254</v>
          </cell>
          <cell r="B262" t="str">
            <v>Mar</v>
          </cell>
          <cell r="C262" t="str">
            <v>A</v>
          </cell>
          <cell r="D262">
            <v>38789</v>
          </cell>
          <cell r="E262" t="str">
            <v>Training plan to be finalized for OHSAS 18001</v>
          </cell>
          <cell r="F262" t="str">
            <v>Anjali</v>
          </cell>
          <cell r="G262">
            <v>38792</v>
          </cell>
          <cell r="J262" t="str">
            <v>Open</v>
          </cell>
        </row>
        <row r="263">
          <cell r="A263" t="str">
            <v>255</v>
          </cell>
          <cell r="B263" t="str">
            <v>Mar</v>
          </cell>
          <cell r="C263" t="str">
            <v>A</v>
          </cell>
          <cell r="D263">
            <v>38789</v>
          </cell>
          <cell r="E263" t="str">
            <v>Screen printing cleaning water treatment to be decided</v>
          </cell>
          <cell r="F263" t="str">
            <v>Anjali</v>
          </cell>
          <cell r="G263">
            <v>38806</v>
          </cell>
          <cell r="J263" t="str">
            <v>Open</v>
          </cell>
        </row>
        <row r="264">
          <cell r="A264" t="str">
            <v>256</v>
          </cell>
          <cell r="B264" t="str">
            <v>Mar</v>
          </cell>
          <cell r="C264" t="str">
            <v>A</v>
          </cell>
          <cell r="D264">
            <v>38790</v>
          </cell>
          <cell r="E264" t="str">
            <v>OPIX analysis &amp; Improvement plan to be put in PPT for AQMM</v>
          </cell>
          <cell r="F264" t="str">
            <v>Malini</v>
          </cell>
          <cell r="G264">
            <v>38790</v>
          </cell>
          <cell r="I264">
            <v>38790</v>
          </cell>
          <cell r="J264" t="str">
            <v>closed</v>
          </cell>
        </row>
        <row r="265">
          <cell r="A265" t="str">
            <v>257</v>
          </cell>
          <cell r="B265" t="str">
            <v>Mar</v>
          </cell>
          <cell r="C265" t="str">
            <v>A</v>
          </cell>
          <cell r="D265">
            <v>38790</v>
          </cell>
          <cell r="E265" t="str">
            <v>Meeting room booking for Performance  Appraisal</v>
          </cell>
          <cell r="F265" t="str">
            <v>Malini</v>
          </cell>
          <cell r="G265">
            <v>38796</v>
          </cell>
          <cell r="I265">
            <v>38796</v>
          </cell>
          <cell r="J265" t="str">
            <v>closed</v>
          </cell>
        </row>
        <row r="266">
          <cell r="A266" t="str">
            <v>258</v>
          </cell>
          <cell r="B266" t="str">
            <v>Mar</v>
          </cell>
          <cell r="C266" t="str">
            <v>A</v>
          </cell>
          <cell r="D266">
            <v>38796</v>
          </cell>
          <cell r="E266" t="str">
            <v>Objective/Targets to be finalized with measurment definations</v>
          </cell>
          <cell r="F266" t="str">
            <v>Malini</v>
          </cell>
          <cell r="G266">
            <v>38799</v>
          </cell>
          <cell r="J266" t="str">
            <v>Open</v>
          </cell>
        </row>
        <row r="267">
          <cell r="A267" t="str">
            <v>259</v>
          </cell>
          <cell r="B267" t="str">
            <v>Mar</v>
          </cell>
          <cell r="C267" t="str">
            <v>A</v>
          </cell>
          <cell r="D267">
            <v>38796</v>
          </cell>
          <cell r="E267" t="str">
            <v>Objective/Targets to be finalized with measurment definations</v>
          </cell>
          <cell r="F267" t="str">
            <v>Anjali</v>
          </cell>
          <cell r="G267">
            <v>38799</v>
          </cell>
          <cell r="J267" t="str">
            <v>Open</v>
          </cell>
        </row>
        <row r="268">
          <cell r="A268" t="str">
            <v>260</v>
          </cell>
          <cell r="B268" t="str">
            <v>Mar</v>
          </cell>
          <cell r="C268" t="str">
            <v>A</v>
          </cell>
          <cell r="D268">
            <v>38796</v>
          </cell>
          <cell r="E268" t="str">
            <v>Objective/Targets to be finalized with measurment definations</v>
          </cell>
          <cell r="F268" t="str">
            <v>Devang</v>
          </cell>
          <cell r="G268">
            <v>38799</v>
          </cell>
          <cell r="J268" t="str">
            <v>Open</v>
          </cell>
        </row>
        <row r="269">
          <cell r="A269" t="str">
            <v>261</v>
          </cell>
          <cell r="B269" t="str">
            <v>Mar</v>
          </cell>
          <cell r="C269" t="str">
            <v>A</v>
          </cell>
          <cell r="D269">
            <v>38797</v>
          </cell>
          <cell r="E269" t="str">
            <v>EL Manual changes to be reviewed &amp; updated for the mail received on 16TH &amp; 17th Mar</v>
          </cell>
          <cell r="F269" t="str">
            <v>Malini</v>
          </cell>
          <cell r="G269">
            <v>38799</v>
          </cell>
          <cell r="I269">
            <v>38803</v>
          </cell>
          <cell r="J269" t="str">
            <v>Open</v>
          </cell>
        </row>
        <row r="270">
          <cell r="A270" t="str">
            <v>262</v>
          </cell>
          <cell r="B270" t="str">
            <v>Mar</v>
          </cell>
          <cell r="C270" t="str">
            <v>A</v>
          </cell>
          <cell r="D270">
            <v>38797</v>
          </cell>
          <cell r="E270" t="str">
            <v xml:space="preserve">Attach the Masterlist of QMS procedures &amp; send to Anjali &amp; Devang for reviewing the changes to be updated inline with OHSAS &amp; SA 8000 requirements </v>
          </cell>
          <cell r="F270" t="str">
            <v>Malini</v>
          </cell>
          <cell r="G270">
            <v>38797</v>
          </cell>
          <cell r="I270">
            <v>38797</v>
          </cell>
          <cell r="J270" t="str">
            <v>closed</v>
          </cell>
        </row>
        <row r="271">
          <cell r="A271" t="str">
            <v>263</v>
          </cell>
          <cell r="B271" t="str">
            <v>Mar</v>
          </cell>
          <cell r="C271" t="str">
            <v>A</v>
          </cell>
          <cell r="D271">
            <v>38797</v>
          </cell>
          <cell r="E271" t="str">
            <v>Mail to be send to Kumar Narayan on the Annex V nomination for Technology.</v>
          </cell>
          <cell r="F271" t="str">
            <v>Malini</v>
          </cell>
          <cell r="G271">
            <v>38797</v>
          </cell>
          <cell r="J271" t="str">
            <v>closed</v>
          </cell>
        </row>
        <row r="272">
          <cell r="A272" t="str">
            <v>264</v>
          </cell>
          <cell r="B272" t="str">
            <v>Mar</v>
          </cell>
          <cell r="C272" t="str">
            <v>A</v>
          </cell>
          <cell r="D272">
            <v>38797</v>
          </cell>
          <cell r="E272" t="str">
            <v>Enviroment Objective to be finalized</v>
          </cell>
          <cell r="F272" t="str">
            <v>Anjali</v>
          </cell>
          <cell r="G272">
            <v>38798</v>
          </cell>
          <cell r="J272" t="str">
            <v>Open</v>
          </cell>
        </row>
        <row r="273">
          <cell r="A273" t="str">
            <v>265</v>
          </cell>
          <cell r="B273" t="str">
            <v>Mar</v>
          </cell>
          <cell r="C273" t="str">
            <v>A</v>
          </cell>
          <cell r="D273">
            <v>38797</v>
          </cell>
          <cell r="E273" t="str">
            <v>Quality Objective to be finalized</v>
          </cell>
          <cell r="F273" t="str">
            <v>Malini</v>
          </cell>
          <cell r="G273">
            <v>38798</v>
          </cell>
          <cell r="I273">
            <v>38803</v>
          </cell>
          <cell r="J273" t="str">
            <v>Open</v>
          </cell>
        </row>
        <row r="274">
          <cell r="A274" t="str">
            <v>266</v>
          </cell>
          <cell r="B274" t="str">
            <v>Mar</v>
          </cell>
          <cell r="C274" t="str">
            <v>A</v>
          </cell>
          <cell r="D274">
            <v>38797</v>
          </cell>
          <cell r="E274" t="str">
            <v>OHSAS &amp; SA8000 Audit Plan to be circulated</v>
          </cell>
          <cell r="F274" t="str">
            <v>Devang</v>
          </cell>
          <cell r="G274">
            <v>38798</v>
          </cell>
          <cell r="J274" t="str">
            <v>Open</v>
          </cell>
        </row>
        <row r="275">
          <cell r="A275" t="str">
            <v>267</v>
          </cell>
          <cell r="B275" t="str">
            <v>Mar</v>
          </cell>
          <cell r="C275" t="str">
            <v>A</v>
          </cell>
          <cell r="D275">
            <v>38797</v>
          </cell>
          <cell r="E275" t="str">
            <v>CIP First review to be organized</v>
          </cell>
          <cell r="F275" t="str">
            <v>Devang</v>
          </cell>
          <cell r="G275">
            <v>38798</v>
          </cell>
          <cell r="I275">
            <v>38797</v>
          </cell>
          <cell r="J275" t="str">
            <v>closed</v>
          </cell>
        </row>
        <row r="276">
          <cell r="A276" t="str">
            <v>268</v>
          </cell>
          <cell r="B276" t="str">
            <v>Mar</v>
          </cell>
          <cell r="C276" t="str">
            <v>A</v>
          </cell>
          <cell r="D276">
            <v>38797</v>
          </cell>
          <cell r="E276" t="str">
            <v>Near Misses defination to be added in the Training Plan</v>
          </cell>
          <cell r="F276" t="str">
            <v>Anjali</v>
          </cell>
          <cell r="G276">
            <v>38799</v>
          </cell>
          <cell r="J276" t="str">
            <v>Open</v>
          </cell>
        </row>
        <row r="277">
          <cell r="A277" t="str">
            <v>271</v>
          </cell>
          <cell r="B277" t="str">
            <v>Mar</v>
          </cell>
          <cell r="C277" t="str">
            <v>A</v>
          </cell>
          <cell r="D277">
            <v>38798</v>
          </cell>
          <cell r="E277" t="str">
            <v>EL Manual changes to be reviewed &amp; updated for the mail received on 22nd Mar</v>
          </cell>
          <cell r="F277" t="str">
            <v>Malini</v>
          </cell>
          <cell r="G277">
            <v>38798</v>
          </cell>
          <cell r="J277" t="str">
            <v>closed</v>
          </cell>
        </row>
        <row r="278">
          <cell r="A278" t="str">
            <v>272</v>
          </cell>
          <cell r="B278" t="str">
            <v>Mar</v>
          </cell>
          <cell r="C278" t="str">
            <v>A</v>
          </cell>
          <cell r="D278">
            <v>38804</v>
          </cell>
          <cell r="E278" t="str">
            <v>COPQ Cost definition &amp; PPT to be reviewed by Sukhvinder</v>
          </cell>
          <cell r="F278" t="str">
            <v>Malini</v>
          </cell>
          <cell r="G278">
            <v>38814</v>
          </cell>
          <cell r="J278" t="str">
            <v>On-going</v>
          </cell>
        </row>
        <row r="279">
          <cell r="A279" t="str">
            <v>273</v>
          </cell>
          <cell r="B279" t="str">
            <v>Mar</v>
          </cell>
          <cell r="C279" t="str">
            <v>A</v>
          </cell>
          <cell r="D279">
            <v>38805</v>
          </cell>
          <cell r="E279" t="str">
            <v>COPQ Template to be reviewed by sukhvinder</v>
          </cell>
          <cell r="F279" t="str">
            <v>Malini</v>
          </cell>
          <cell r="G279">
            <v>38814</v>
          </cell>
          <cell r="J279" t="str">
            <v>On-going</v>
          </cell>
        </row>
        <row r="280">
          <cell r="A280" t="str">
            <v>274</v>
          </cell>
          <cell r="B280" t="str">
            <v>Apr</v>
          </cell>
          <cell r="C280" t="str">
            <v>A</v>
          </cell>
          <cell r="D280">
            <v>38810</v>
          </cell>
          <cell r="E280" t="str">
            <v>CIP Board updation</v>
          </cell>
          <cell r="F280" t="str">
            <v>Vasuki</v>
          </cell>
          <cell r="G280">
            <v>38810</v>
          </cell>
          <cell r="J280" t="str">
            <v>closed</v>
          </cell>
        </row>
        <row r="281">
          <cell r="A281">
            <v>375</v>
          </cell>
          <cell r="B281" t="str">
            <v>Apr</v>
          </cell>
          <cell r="C281" t="str">
            <v>A</v>
          </cell>
          <cell r="D281">
            <v>38810</v>
          </cell>
          <cell r="E281" t="str">
            <v>Checking of ROHS, Waste, Chemical storage areas before Nnet audit</v>
          </cell>
          <cell r="F281" t="str">
            <v>Anjali</v>
          </cell>
          <cell r="G281">
            <v>38810</v>
          </cell>
          <cell r="J281" t="str">
            <v>Open</v>
          </cell>
        </row>
        <row r="282">
          <cell r="A282">
            <v>376</v>
          </cell>
          <cell r="B282" t="str">
            <v>Apr</v>
          </cell>
          <cell r="C282" t="str">
            <v>A</v>
          </cell>
          <cell r="D282">
            <v>38810</v>
          </cell>
          <cell r="E282" t="str">
            <v>Checking of Warehouse, R/w Materials, Finished goods, paste storage area before Net audit</v>
          </cell>
          <cell r="F282" t="str">
            <v>Malini</v>
          </cell>
          <cell r="G282">
            <v>38810</v>
          </cell>
          <cell r="J282" t="str">
            <v>Open</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
      <sheetName val="Info"/>
      <sheetName val="Supply COST"/>
      <sheetName val="Spare Cost"/>
      <sheetName val="Travel for 1 set"/>
      <sheetName val="Travel COST"/>
      <sheetName val="Services COST"/>
      <sheetName val="Summary"/>
      <sheetName val="SAP BOM "/>
      <sheetName val="SAP Budget"/>
    </sheetNames>
    <sheetDataSet>
      <sheetData sheetId="0"/>
      <sheetData sheetId="1"/>
      <sheetData sheetId="2">
        <row r="16">
          <cell r="E16">
            <v>0</v>
          </cell>
        </row>
        <row r="17">
          <cell r="E17">
            <v>0</v>
          </cell>
        </row>
        <row r="23">
          <cell r="E23">
            <v>0</v>
          </cell>
        </row>
        <row r="24">
          <cell r="E24">
            <v>0</v>
          </cell>
        </row>
        <row r="26">
          <cell r="E26">
            <v>0</v>
          </cell>
        </row>
        <row r="41">
          <cell r="E41">
            <v>0</v>
          </cell>
        </row>
        <row r="48">
          <cell r="E48">
            <v>0</v>
          </cell>
        </row>
        <row r="54">
          <cell r="E54">
            <v>0</v>
          </cell>
        </row>
        <row r="57">
          <cell r="E57">
            <v>0</v>
          </cell>
        </row>
        <row r="59">
          <cell r="E59">
            <v>0</v>
          </cell>
        </row>
        <row r="61">
          <cell r="E61">
            <v>0</v>
          </cell>
        </row>
        <row r="62">
          <cell r="E62">
            <v>0</v>
          </cell>
        </row>
        <row r="63">
          <cell r="E63">
            <v>0</v>
          </cell>
        </row>
        <row r="64">
          <cell r="E64">
            <v>0</v>
          </cell>
        </row>
        <row r="65">
          <cell r="E65">
            <v>0</v>
          </cell>
        </row>
        <row r="66">
          <cell r="E66">
            <v>0</v>
          </cell>
        </row>
        <row r="67">
          <cell r="E67">
            <v>0</v>
          </cell>
        </row>
        <row r="70">
          <cell r="E70">
            <v>0</v>
          </cell>
        </row>
      </sheetData>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A6D21D-081E-49FA-A54A-A3ADDD04CEF4}" name="Table2" displayName="Table2" ref="B2:G43" totalsRowShown="0" headerRowBorderDxfId="7" tableBorderDxfId="6">
  <autoFilter ref="B2:G43" xr:uid="{00A6D21D-081E-49FA-A54A-A3ADDD04CEF4}">
    <filterColumn colId="3">
      <filters>
        <filter val="10"/>
        <filter val="11"/>
        <filter val="12"/>
        <filter val="144"/>
        <filter val="16"/>
        <filter val="189"/>
        <filter val="19"/>
        <filter val="22"/>
        <filter val="2250000"/>
        <filter val="244"/>
        <filter val="27"/>
        <filter val="28"/>
        <filter val="315"/>
        <filter val="369"/>
        <filter val="37"/>
        <filter val="408"/>
        <filter val="42"/>
        <filter val="46"/>
        <filter val="550"/>
        <filter val="56"/>
        <filter val="606"/>
        <filter val="61"/>
        <filter val="630"/>
        <filter val="68"/>
        <filter val="92"/>
        <filter val="93"/>
      </filters>
    </filterColumn>
  </autoFilter>
  <tableColumns count="6">
    <tableColumn id="1" xr3:uid="{8E938A7F-204F-4D78-8189-9C8C0F38FD60}" name="Column1" dataDxfId="5"/>
    <tableColumn id="2" xr3:uid="{4F3A6D53-BB88-4329-A669-EEB208967230}" name="SAP CODE" dataDxfId="4"/>
    <tableColumn id="3" xr3:uid="{5D0FEEF8-ED06-4F12-B3C9-2072F9C7FA1B}" name="Description" dataDxfId="3"/>
    <tableColumn id="4" xr3:uid="{FBA01898-734C-42FF-B389-3DA2A10B4D7C}" name="Main Qty" dataDxfId="2"/>
    <tableColumn id="5" xr3:uid="{CE2D7EAE-577B-4F79-8B23-BDF7E39E3D0A}" name="Spare" dataDxfId="1"/>
    <tableColumn id="6" xr3:uid="{815A2B39-4F19-400A-B603-6C8112589EAC}" name="Total" dataDxfId="0">
      <calculatedColumnFormula>Table2[[#This Row],[Main Qty]]+Table2[[#This Row],[Spare]]</calculatedColumnFormula>
    </tableColumn>
  </tableColumns>
  <tableStyleInfo name="TableStyleLight9 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63" Type="http://schemas.openxmlformats.org/officeDocument/2006/relationships/ctrlProp" Target="../ctrlProps/ctrlProp60.xml"/><Relationship Id="rId7" Type="http://schemas.openxmlformats.org/officeDocument/2006/relationships/ctrlProp" Target="../ctrlProps/ctrlProp4.xml"/><Relationship Id="rId2" Type="http://schemas.openxmlformats.org/officeDocument/2006/relationships/drawing" Target="../drawings/drawing2.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2.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B4F0-5BB9-49BA-B1B8-6A5C4D70F41E}">
  <dimension ref="C7:AI34"/>
  <sheetViews>
    <sheetView view="pageBreakPreview" zoomScaleNormal="145" zoomScaleSheetLayoutView="100" zoomScalePageLayoutView="85" workbookViewId="0">
      <selection activeCell="C65" sqref="C65:H65"/>
    </sheetView>
  </sheetViews>
  <sheetFormatPr defaultColWidth="2.6640625" defaultRowHeight="14.1" customHeight="1" x14ac:dyDescent="0.25"/>
  <cols>
    <col min="1" max="1" width="2.6640625" style="47"/>
    <col min="2" max="2" width="4.6640625" style="47" customWidth="1"/>
    <col min="3" max="3" width="2.6640625" style="47"/>
    <col min="4" max="4" width="2.6640625" style="47" customWidth="1"/>
    <col min="5" max="5" width="2.6640625" style="47"/>
    <col min="6" max="7" width="2.6640625" style="47" customWidth="1"/>
    <col min="8" max="34" width="2.6640625" style="47"/>
    <col min="35" max="35" width="9.5546875" style="47" customWidth="1"/>
    <col min="36" max="16384" width="2.6640625" style="47"/>
  </cols>
  <sheetData>
    <row r="7" spans="3:18" ht="30.75" customHeight="1" x14ac:dyDescent="0.5">
      <c r="C7" s="46"/>
      <c r="E7" s="46" t="s">
        <v>88</v>
      </c>
      <c r="F7" s="46"/>
      <c r="G7" s="46"/>
      <c r="H7" s="46"/>
    </row>
    <row r="8" spans="3:18" ht="30.75" customHeight="1" x14ac:dyDescent="0.5">
      <c r="C8" s="46"/>
      <c r="E8" s="46"/>
    </row>
    <row r="14" spans="3:18" ht="14.1" customHeight="1" x14ac:dyDescent="0.25">
      <c r="E14" s="48"/>
      <c r="F14" s="48"/>
      <c r="G14" s="48"/>
      <c r="H14" s="48"/>
      <c r="I14" s="48"/>
      <c r="J14" s="48"/>
      <c r="K14" s="48"/>
      <c r="L14" s="48"/>
      <c r="M14" s="48"/>
      <c r="N14" s="48"/>
      <c r="O14" s="48"/>
      <c r="P14" s="48"/>
      <c r="Q14" s="48"/>
      <c r="R14" s="48"/>
    </row>
    <row r="15" spans="3:18" ht="14.1" customHeight="1" x14ac:dyDescent="0.25">
      <c r="E15" s="48"/>
      <c r="F15" s="48"/>
      <c r="G15" s="48"/>
      <c r="H15" s="53" t="s">
        <v>89</v>
      </c>
      <c r="I15" s="49"/>
      <c r="J15" s="48"/>
      <c r="K15" s="48"/>
      <c r="L15" s="48"/>
      <c r="M15" s="48"/>
      <c r="N15" s="48"/>
      <c r="O15" s="48"/>
      <c r="P15" s="48"/>
      <c r="Q15" s="48"/>
      <c r="R15" s="48"/>
    </row>
    <row r="16" spans="3:18" ht="14.1" customHeight="1" x14ac:dyDescent="0.25">
      <c r="E16" s="48"/>
      <c r="F16" s="48"/>
      <c r="G16" s="48"/>
      <c r="H16" s="53"/>
      <c r="I16" s="50"/>
      <c r="J16" s="48"/>
      <c r="K16" s="48"/>
      <c r="L16" s="48"/>
      <c r="M16" s="48"/>
      <c r="N16" s="48"/>
      <c r="O16" s="48"/>
      <c r="P16" s="48"/>
      <c r="Q16" s="48"/>
      <c r="R16" s="48"/>
    </row>
    <row r="17" spans="5:35" ht="9.75" customHeight="1" x14ac:dyDescent="0.25">
      <c r="E17" s="48"/>
      <c r="F17" s="48"/>
      <c r="G17" s="48"/>
      <c r="H17" s="48"/>
      <c r="I17" s="48"/>
      <c r="J17" s="48"/>
      <c r="K17" s="48"/>
      <c r="L17" s="48"/>
      <c r="M17" s="48"/>
      <c r="N17" s="48"/>
      <c r="O17" s="48"/>
      <c r="P17" s="48"/>
      <c r="Q17" s="48"/>
      <c r="R17" s="48"/>
    </row>
    <row r="18" spans="5:35" ht="14.1" customHeight="1" x14ac:dyDescent="0.25">
      <c r="E18" s="48"/>
      <c r="F18" s="48"/>
      <c r="G18" s="48"/>
      <c r="H18" s="48" t="s">
        <v>86</v>
      </c>
      <c r="I18" s="51"/>
      <c r="J18" s="48"/>
      <c r="K18" s="48"/>
      <c r="L18" s="48"/>
      <c r="M18" s="48"/>
      <c r="N18" s="48"/>
      <c r="O18" s="48"/>
      <c r="P18" s="48"/>
      <c r="Q18" s="48"/>
      <c r="R18" s="48"/>
    </row>
    <row r="19" spans="5:35" ht="14.1" customHeight="1" x14ac:dyDescent="0.25">
      <c r="E19" s="48"/>
      <c r="F19" s="48"/>
      <c r="G19" s="48"/>
      <c r="H19" s="48" t="s">
        <v>87</v>
      </c>
      <c r="I19" s="51"/>
      <c r="J19" s="48"/>
      <c r="K19" s="48"/>
      <c r="L19" s="48"/>
      <c r="M19" s="48"/>
      <c r="N19" s="48"/>
      <c r="O19" s="48"/>
      <c r="P19" s="48"/>
      <c r="Q19" s="48"/>
      <c r="R19" s="48"/>
    </row>
    <row r="20" spans="5:35" ht="14.1" customHeight="1" x14ac:dyDescent="0.25">
      <c r="E20" s="48"/>
      <c r="F20" s="48"/>
      <c r="G20" s="48"/>
      <c r="H20" s="48"/>
      <c r="I20" s="51"/>
      <c r="J20" s="48"/>
      <c r="K20" s="48"/>
      <c r="L20" s="48"/>
      <c r="M20" s="48"/>
      <c r="N20" s="48"/>
      <c r="O20" s="48"/>
      <c r="P20" s="48"/>
      <c r="Q20" s="48"/>
      <c r="R20" s="48"/>
    </row>
    <row r="21" spans="5:35" ht="14.1" customHeight="1" x14ac:dyDescent="0.25">
      <c r="E21" s="48"/>
      <c r="F21" s="48"/>
      <c r="G21" s="48"/>
      <c r="H21" s="48"/>
      <c r="I21" s="48"/>
      <c r="J21" s="48"/>
      <c r="K21" s="48"/>
      <c r="L21" s="48"/>
      <c r="M21" s="48"/>
      <c r="N21" s="48"/>
      <c r="O21" s="48"/>
      <c r="P21" s="48"/>
      <c r="Q21" s="48"/>
      <c r="R21" s="48"/>
    </row>
    <row r="26" spans="5:35" ht="14.1" customHeight="1" thickBot="1" x14ac:dyDescent="0.35">
      <c r="E26" s="41" t="s">
        <v>85</v>
      </c>
      <c r="F26"/>
      <c r="G26"/>
      <c r="H26"/>
    </row>
    <row r="27" spans="5:35" ht="14.1" customHeight="1" x14ac:dyDescent="0.3">
      <c r="E27" s="175" t="s">
        <v>90</v>
      </c>
      <c r="F27" s="173"/>
      <c r="G27" s="173"/>
      <c r="H27" s="173"/>
      <c r="I27" s="173"/>
      <c r="J27" s="173"/>
      <c r="K27" s="173" t="s">
        <v>82</v>
      </c>
      <c r="L27" s="173"/>
      <c r="M27" s="173"/>
      <c r="N27" s="173"/>
      <c r="O27" s="173"/>
      <c r="P27" s="173"/>
      <c r="Q27" s="173"/>
      <c r="R27" s="173" t="s">
        <v>17</v>
      </c>
      <c r="S27" s="173"/>
      <c r="T27" s="173"/>
      <c r="U27" s="173"/>
      <c r="V27" s="173" t="s">
        <v>83</v>
      </c>
      <c r="W27" s="173"/>
      <c r="X27" s="173"/>
      <c r="Y27" s="173"/>
      <c r="Z27" s="173"/>
      <c r="AA27" s="173"/>
      <c r="AB27" s="173"/>
      <c r="AC27" s="173"/>
      <c r="AD27" s="173"/>
      <c r="AE27" s="173"/>
      <c r="AF27" s="173"/>
      <c r="AG27" s="173"/>
      <c r="AH27" s="173"/>
      <c r="AI27" s="174"/>
    </row>
    <row r="28" spans="5:35" ht="14.1" customHeight="1" x14ac:dyDescent="0.3">
      <c r="E28" s="176">
        <v>5</v>
      </c>
      <c r="F28" s="169"/>
      <c r="G28" s="169"/>
      <c r="H28" s="169"/>
      <c r="I28" s="169"/>
      <c r="J28" s="169"/>
      <c r="K28" s="169" t="s">
        <v>81</v>
      </c>
      <c r="L28" s="169"/>
      <c r="M28" s="169"/>
      <c r="N28" s="169"/>
      <c r="O28" s="169"/>
      <c r="P28" s="169"/>
      <c r="Q28" s="169"/>
      <c r="R28" s="177">
        <v>44609</v>
      </c>
      <c r="S28" s="177"/>
      <c r="T28" s="177"/>
      <c r="U28" s="177"/>
      <c r="V28" s="178" t="s">
        <v>84</v>
      </c>
      <c r="W28" s="178"/>
      <c r="X28" s="178"/>
      <c r="Y28" s="178"/>
      <c r="Z28" s="178"/>
      <c r="AA28" s="178"/>
      <c r="AB28" s="178"/>
      <c r="AC28" s="178"/>
      <c r="AD28" s="178"/>
      <c r="AE28" s="178"/>
      <c r="AF28" s="178"/>
      <c r="AG28" s="178"/>
      <c r="AH28" s="178"/>
      <c r="AI28" s="179"/>
    </row>
    <row r="29" spans="5:35" ht="83.25" customHeight="1" x14ac:dyDescent="0.3">
      <c r="E29" s="176">
        <v>6</v>
      </c>
      <c r="F29" s="169"/>
      <c r="G29" s="169"/>
      <c r="H29" s="169"/>
      <c r="I29" s="169"/>
      <c r="J29" s="169"/>
      <c r="K29" s="169" t="s">
        <v>81</v>
      </c>
      <c r="L29" s="169"/>
      <c r="M29" s="169"/>
      <c r="N29" s="169"/>
      <c r="O29" s="169"/>
      <c r="P29" s="169"/>
      <c r="Q29" s="169"/>
      <c r="R29" s="177">
        <v>44755</v>
      </c>
      <c r="S29" s="177"/>
      <c r="T29" s="177"/>
      <c r="U29" s="177"/>
      <c r="V29" s="180" t="s">
        <v>92</v>
      </c>
      <c r="W29" s="180"/>
      <c r="X29" s="180"/>
      <c r="Y29" s="180"/>
      <c r="Z29" s="180"/>
      <c r="AA29" s="180"/>
      <c r="AB29" s="180"/>
      <c r="AC29" s="180"/>
      <c r="AD29" s="180"/>
      <c r="AE29" s="180"/>
      <c r="AF29" s="180"/>
      <c r="AG29" s="180"/>
      <c r="AH29" s="180"/>
      <c r="AI29" s="181"/>
    </row>
    <row r="30" spans="5:35" ht="102.75" customHeight="1" x14ac:dyDescent="0.3">
      <c r="E30" s="176">
        <v>7</v>
      </c>
      <c r="F30" s="169"/>
      <c r="G30" s="169"/>
      <c r="H30" s="169"/>
      <c r="I30" s="169"/>
      <c r="J30" s="169"/>
      <c r="K30" s="169" t="s">
        <v>81</v>
      </c>
      <c r="L30" s="169"/>
      <c r="M30" s="169"/>
      <c r="N30" s="169"/>
      <c r="O30" s="169"/>
      <c r="P30" s="169"/>
      <c r="Q30" s="169"/>
      <c r="R30" s="177">
        <v>45142</v>
      </c>
      <c r="S30" s="177"/>
      <c r="T30" s="177"/>
      <c r="U30" s="177"/>
      <c r="V30" s="182" t="s">
        <v>99</v>
      </c>
      <c r="W30" s="182"/>
      <c r="X30" s="182"/>
      <c r="Y30" s="182"/>
      <c r="Z30" s="182"/>
      <c r="AA30" s="182"/>
      <c r="AB30" s="182"/>
      <c r="AC30" s="182"/>
      <c r="AD30" s="182"/>
      <c r="AE30" s="182"/>
      <c r="AF30" s="182"/>
      <c r="AG30" s="182"/>
      <c r="AH30" s="182"/>
      <c r="AI30" s="183"/>
    </row>
    <row r="31" spans="5:35" s="52" customFormat="1" ht="14.1" customHeight="1" x14ac:dyDescent="0.3">
      <c r="E31" s="176">
        <v>8</v>
      </c>
      <c r="F31" s="169"/>
      <c r="G31" s="169"/>
      <c r="H31" s="169"/>
      <c r="I31" s="169"/>
      <c r="J31" s="169"/>
      <c r="K31" s="169" t="s">
        <v>81</v>
      </c>
      <c r="L31" s="169"/>
      <c r="M31" s="169"/>
      <c r="N31" s="169"/>
      <c r="O31" s="169"/>
      <c r="P31" s="169"/>
      <c r="Q31" s="169"/>
      <c r="R31" s="177">
        <v>45162</v>
      </c>
      <c r="S31" s="177"/>
      <c r="T31" s="177"/>
      <c r="U31" s="177"/>
      <c r="V31" s="178" t="s">
        <v>101</v>
      </c>
      <c r="W31" s="178"/>
      <c r="X31" s="178"/>
      <c r="Y31" s="178"/>
      <c r="Z31" s="178"/>
      <c r="AA31" s="178"/>
      <c r="AB31" s="178"/>
      <c r="AC31" s="178"/>
      <c r="AD31" s="178"/>
      <c r="AE31" s="178"/>
      <c r="AF31" s="178"/>
      <c r="AG31" s="178"/>
      <c r="AH31" s="178"/>
      <c r="AI31" s="179"/>
    </row>
    <row r="32" spans="5:35" s="52" customFormat="1" ht="14.1" customHeight="1" x14ac:dyDescent="0.3">
      <c r="E32" s="176">
        <v>9</v>
      </c>
      <c r="F32" s="169"/>
      <c r="G32" s="169"/>
      <c r="H32" s="169"/>
      <c r="I32" s="169"/>
      <c r="J32" s="169"/>
      <c r="K32" s="169" t="s">
        <v>81</v>
      </c>
      <c r="L32" s="169"/>
      <c r="M32" s="169"/>
      <c r="N32" s="169"/>
      <c r="O32" s="169"/>
      <c r="P32" s="169"/>
      <c r="Q32" s="169"/>
      <c r="R32" s="177">
        <v>45176</v>
      </c>
      <c r="S32" s="177"/>
      <c r="T32" s="177"/>
      <c r="U32" s="177"/>
      <c r="V32" s="178" t="s">
        <v>102</v>
      </c>
      <c r="W32" s="178"/>
      <c r="X32" s="178"/>
      <c r="Y32" s="178"/>
      <c r="Z32" s="178"/>
      <c r="AA32" s="178"/>
      <c r="AB32" s="178"/>
      <c r="AC32" s="178"/>
      <c r="AD32" s="178"/>
      <c r="AE32" s="178"/>
      <c r="AF32" s="178"/>
      <c r="AG32" s="178"/>
      <c r="AH32" s="178"/>
      <c r="AI32" s="179"/>
    </row>
    <row r="33" spans="5:35" ht="14.1" customHeight="1" thickBot="1" x14ac:dyDescent="0.35">
      <c r="E33" s="167">
        <v>10</v>
      </c>
      <c r="F33" s="168"/>
      <c r="G33" s="168"/>
      <c r="H33" s="168"/>
      <c r="I33" s="168"/>
      <c r="J33" s="168"/>
      <c r="K33" s="169" t="s">
        <v>81</v>
      </c>
      <c r="L33" s="169"/>
      <c r="M33" s="169"/>
      <c r="N33" s="169"/>
      <c r="O33" s="169"/>
      <c r="P33" s="169"/>
      <c r="Q33" s="169"/>
      <c r="R33" s="170">
        <v>45211</v>
      </c>
      <c r="S33" s="170"/>
      <c r="T33" s="170"/>
      <c r="U33" s="170"/>
      <c r="V33" s="171" t="s">
        <v>103</v>
      </c>
      <c r="W33" s="171"/>
      <c r="X33" s="171"/>
      <c r="Y33" s="171"/>
      <c r="Z33" s="171"/>
      <c r="AA33" s="171"/>
      <c r="AB33" s="171"/>
      <c r="AC33" s="171"/>
      <c r="AD33" s="171"/>
      <c r="AE33" s="171"/>
      <c r="AF33" s="171"/>
      <c r="AG33" s="171"/>
      <c r="AH33" s="171"/>
      <c r="AI33" s="172"/>
    </row>
    <row r="34" spans="5:35" ht="14.1" customHeight="1" thickBot="1" x14ac:dyDescent="0.35">
      <c r="E34" s="167">
        <v>11</v>
      </c>
      <c r="F34" s="168"/>
      <c r="G34" s="168"/>
      <c r="H34" s="168"/>
      <c r="I34" s="168"/>
      <c r="J34" s="168"/>
      <c r="K34" s="169" t="s">
        <v>81</v>
      </c>
      <c r="L34" s="169"/>
      <c r="M34" s="169"/>
      <c r="N34" s="169"/>
      <c r="O34" s="169"/>
      <c r="P34" s="169"/>
      <c r="Q34" s="169"/>
      <c r="R34" s="170">
        <v>45517</v>
      </c>
      <c r="S34" s="170"/>
      <c r="T34" s="170"/>
      <c r="U34" s="170"/>
      <c r="V34" s="171" t="s">
        <v>138</v>
      </c>
      <c r="W34" s="171"/>
      <c r="X34" s="171"/>
      <c r="Y34" s="171"/>
      <c r="Z34" s="171"/>
      <c r="AA34" s="171"/>
      <c r="AB34" s="171"/>
      <c r="AC34" s="171"/>
      <c r="AD34" s="171"/>
      <c r="AE34" s="171"/>
      <c r="AF34" s="171"/>
      <c r="AG34" s="171"/>
      <c r="AH34" s="171"/>
      <c r="AI34" s="172"/>
    </row>
  </sheetData>
  <mergeCells count="32">
    <mergeCell ref="R30:U30"/>
    <mergeCell ref="R31:U31"/>
    <mergeCell ref="R32:U32"/>
    <mergeCell ref="R33:U33"/>
    <mergeCell ref="V28:AI28"/>
    <mergeCell ref="V29:AI29"/>
    <mergeCell ref="V30:AI30"/>
    <mergeCell ref="V31:AI31"/>
    <mergeCell ref="V32:AI32"/>
    <mergeCell ref="V33:AI33"/>
    <mergeCell ref="R29:U29"/>
    <mergeCell ref="K30:Q30"/>
    <mergeCell ref="K31:Q31"/>
    <mergeCell ref="K32:Q32"/>
    <mergeCell ref="K33:Q33"/>
    <mergeCell ref="E29:J29"/>
    <mergeCell ref="E34:J34"/>
    <mergeCell ref="K34:Q34"/>
    <mergeCell ref="R34:U34"/>
    <mergeCell ref="V34:AI34"/>
    <mergeCell ref="V27:AI27"/>
    <mergeCell ref="R27:U27"/>
    <mergeCell ref="K27:Q27"/>
    <mergeCell ref="E27:J27"/>
    <mergeCell ref="E28:J28"/>
    <mergeCell ref="R28:U28"/>
    <mergeCell ref="E30:J30"/>
    <mergeCell ref="E31:J31"/>
    <mergeCell ref="E32:J32"/>
    <mergeCell ref="E33:J33"/>
    <mergeCell ref="K28:Q28"/>
    <mergeCell ref="K29:Q29"/>
  </mergeCells>
  <pageMargins left="0.70866141732283472" right="0.70866141732283472" top="0.74803149606299213" bottom="0.74803149606299213" header="0.31496062992125984" footer="0.31496062992125984"/>
  <pageSetup paperSize="9" scale="57" orientation="portrait" r:id="rId1"/>
  <headerFooter>
    <oddFooter>&amp;LFormat ref.- FSTI/BD/QSF/BPS</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E0CB2-270B-4FCD-8E65-B6A145CB6166}">
  <dimension ref="B3:N20"/>
  <sheetViews>
    <sheetView topLeftCell="B1" zoomScaleNormal="100" workbookViewId="0">
      <selection activeCell="B4" sqref="B4:N11"/>
    </sheetView>
  </sheetViews>
  <sheetFormatPr defaultRowHeight="14.4" x14ac:dyDescent="0.3"/>
  <cols>
    <col min="1" max="1" width="1" customWidth="1"/>
    <col min="2" max="2" width="22.88671875" customWidth="1"/>
    <col min="3" max="3" width="46.5546875" customWidth="1"/>
    <col min="4" max="4" width="10.33203125" customWidth="1"/>
    <col min="15" max="15" width="10.88671875" customWidth="1"/>
  </cols>
  <sheetData>
    <row r="3" spans="2:14" ht="15" thickBot="1" x14ac:dyDescent="0.35">
      <c r="B3" s="1" t="s">
        <v>15</v>
      </c>
    </row>
    <row r="4" spans="2:14" x14ac:dyDescent="0.3">
      <c r="B4" s="184" t="s">
        <v>16</v>
      </c>
      <c r="C4" s="185"/>
      <c r="D4" s="185"/>
      <c r="E4" s="185"/>
      <c r="F4" s="185"/>
      <c r="G4" s="185"/>
      <c r="H4" s="185"/>
      <c r="I4" s="185"/>
      <c r="J4" s="185"/>
      <c r="K4" s="185"/>
      <c r="L4" s="185"/>
      <c r="M4" s="185"/>
      <c r="N4" s="186"/>
    </row>
    <row r="5" spans="2:14" x14ac:dyDescent="0.3">
      <c r="B5" s="187"/>
      <c r="C5" s="188"/>
      <c r="D5" s="188"/>
      <c r="E5" s="188"/>
      <c r="F5" s="188"/>
      <c r="G5" s="188"/>
      <c r="H5" s="188"/>
      <c r="I5" s="188"/>
      <c r="J5" s="188"/>
      <c r="K5" s="188"/>
      <c r="L5" s="188"/>
      <c r="M5" s="188"/>
      <c r="N5" s="189"/>
    </row>
    <row r="6" spans="2:14" x14ac:dyDescent="0.3">
      <c r="B6" s="187"/>
      <c r="C6" s="188"/>
      <c r="D6" s="188"/>
      <c r="E6" s="188"/>
      <c r="F6" s="188"/>
      <c r="G6" s="188"/>
      <c r="H6" s="188"/>
      <c r="I6" s="188"/>
      <c r="J6" s="188"/>
      <c r="K6" s="188"/>
      <c r="L6" s="188"/>
      <c r="M6" s="188"/>
      <c r="N6" s="189"/>
    </row>
    <row r="7" spans="2:14" x14ac:dyDescent="0.3">
      <c r="B7" s="187"/>
      <c r="C7" s="188"/>
      <c r="D7" s="188"/>
      <c r="E7" s="188"/>
      <c r="F7" s="188"/>
      <c r="G7" s="188"/>
      <c r="H7" s="188"/>
      <c r="I7" s="188"/>
      <c r="J7" s="188"/>
      <c r="K7" s="188"/>
      <c r="L7" s="188"/>
      <c r="M7" s="188"/>
      <c r="N7" s="189"/>
    </row>
    <row r="8" spans="2:14" x14ac:dyDescent="0.3">
      <c r="B8" s="187"/>
      <c r="C8" s="188"/>
      <c r="D8" s="188"/>
      <c r="E8" s="188"/>
      <c r="F8" s="188"/>
      <c r="G8" s="188"/>
      <c r="H8" s="188"/>
      <c r="I8" s="188"/>
      <c r="J8" s="188"/>
      <c r="K8" s="188"/>
      <c r="L8" s="188"/>
      <c r="M8" s="188"/>
      <c r="N8" s="189"/>
    </row>
    <row r="9" spans="2:14" x14ac:dyDescent="0.3">
      <c r="B9" s="187"/>
      <c r="C9" s="188"/>
      <c r="D9" s="188"/>
      <c r="E9" s="188"/>
      <c r="F9" s="188"/>
      <c r="G9" s="188"/>
      <c r="H9" s="188"/>
      <c r="I9" s="188"/>
      <c r="J9" s="188"/>
      <c r="K9" s="188"/>
      <c r="L9" s="188"/>
      <c r="M9" s="188"/>
      <c r="N9" s="189"/>
    </row>
    <row r="10" spans="2:14" x14ac:dyDescent="0.3">
      <c r="B10" s="187"/>
      <c r="C10" s="188"/>
      <c r="D10" s="188"/>
      <c r="E10" s="188"/>
      <c r="F10" s="188"/>
      <c r="G10" s="188"/>
      <c r="H10" s="188"/>
      <c r="I10" s="188"/>
      <c r="J10" s="188"/>
      <c r="K10" s="188"/>
      <c r="L10" s="188"/>
      <c r="M10" s="188"/>
      <c r="N10" s="189"/>
    </row>
    <row r="11" spans="2:14" ht="15" thickBot="1" x14ac:dyDescent="0.35">
      <c r="B11" s="190"/>
      <c r="C11" s="191"/>
      <c r="D11" s="191"/>
      <c r="E11" s="191"/>
      <c r="F11" s="191"/>
      <c r="G11" s="191"/>
      <c r="H11" s="191"/>
      <c r="I11" s="191"/>
      <c r="J11" s="191"/>
      <c r="K11" s="191"/>
      <c r="L11" s="191"/>
      <c r="M11" s="191"/>
      <c r="N11" s="192"/>
    </row>
    <row r="12" spans="2:14" ht="15" thickBot="1" x14ac:dyDescent="0.35">
      <c r="B12" s="1" t="s">
        <v>14</v>
      </c>
    </row>
    <row r="13" spans="2:14" x14ac:dyDescent="0.3">
      <c r="B13" s="184" t="s">
        <v>16</v>
      </c>
      <c r="C13" s="185"/>
      <c r="D13" s="185"/>
      <c r="E13" s="185"/>
      <c r="F13" s="185"/>
      <c r="G13" s="185"/>
      <c r="H13" s="185"/>
      <c r="I13" s="185"/>
      <c r="J13" s="185"/>
      <c r="K13" s="185"/>
      <c r="L13" s="185"/>
      <c r="M13" s="185"/>
      <c r="N13" s="186"/>
    </row>
    <row r="14" spans="2:14" x14ac:dyDescent="0.3">
      <c r="B14" s="187"/>
      <c r="C14" s="188"/>
      <c r="D14" s="188"/>
      <c r="E14" s="188"/>
      <c r="F14" s="188"/>
      <c r="G14" s="188"/>
      <c r="H14" s="188"/>
      <c r="I14" s="188"/>
      <c r="J14" s="188"/>
      <c r="K14" s="188"/>
      <c r="L14" s="188"/>
      <c r="M14" s="188"/>
      <c r="N14" s="189"/>
    </row>
    <row r="15" spans="2:14" x14ac:dyDescent="0.3">
      <c r="B15" s="187"/>
      <c r="C15" s="188"/>
      <c r="D15" s="188"/>
      <c r="E15" s="188"/>
      <c r="F15" s="188"/>
      <c r="G15" s="188"/>
      <c r="H15" s="188"/>
      <c r="I15" s="188"/>
      <c r="J15" s="188"/>
      <c r="K15" s="188"/>
      <c r="L15" s="188"/>
      <c r="M15" s="188"/>
      <c r="N15" s="189"/>
    </row>
    <row r="16" spans="2:14" x14ac:dyDescent="0.3">
      <c r="B16" s="187"/>
      <c r="C16" s="188"/>
      <c r="D16" s="188"/>
      <c r="E16" s="188"/>
      <c r="F16" s="188"/>
      <c r="G16" s="188"/>
      <c r="H16" s="188"/>
      <c r="I16" s="188"/>
      <c r="J16" s="188"/>
      <c r="K16" s="188"/>
      <c r="L16" s="188"/>
      <c r="M16" s="188"/>
      <c r="N16" s="189"/>
    </row>
    <row r="17" spans="2:14" x14ac:dyDescent="0.3">
      <c r="B17" s="187"/>
      <c r="C17" s="188"/>
      <c r="D17" s="188"/>
      <c r="E17" s="188"/>
      <c r="F17" s="188"/>
      <c r="G17" s="188"/>
      <c r="H17" s="188"/>
      <c r="I17" s="188"/>
      <c r="J17" s="188"/>
      <c r="K17" s="188"/>
      <c r="L17" s="188"/>
      <c r="M17" s="188"/>
      <c r="N17" s="189"/>
    </row>
    <row r="18" spans="2:14" x14ac:dyDescent="0.3">
      <c r="B18" s="187"/>
      <c r="C18" s="188"/>
      <c r="D18" s="188"/>
      <c r="E18" s="188"/>
      <c r="F18" s="188"/>
      <c r="G18" s="188"/>
      <c r="H18" s="188"/>
      <c r="I18" s="188"/>
      <c r="J18" s="188"/>
      <c r="K18" s="188"/>
      <c r="L18" s="188"/>
      <c r="M18" s="188"/>
      <c r="N18" s="189"/>
    </row>
    <row r="19" spans="2:14" x14ac:dyDescent="0.3">
      <c r="B19" s="187"/>
      <c r="C19" s="188"/>
      <c r="D19" s="188"/>
      <c r="E19" s="188"/>
      <c r="F19" s="188"/>
      <c r="G19" s="188"/>
      <c r="H19" s="188"/>
      <c r="I19" s="188"/>
      <c r="J19" s="188"/>
      <c r="K19" s="188"/>
      <c r="L19" s="188"/>
      <c r="M19" s="188"/>
      <c r="N19" s="189"/>
    </row>
    <row r="20" spans="2:14" ht="15" thickBot="1" x14ac:dyDescent="0.35">
      <c r="B20" s="190"/>
      <c r="C20" s="191"/>
      <c r="D20" s="191"/>
      <c r="E20" s="191"/>
      <c r="F20" s="191"/>
      <c r="G20" s="191"/>
      <c r="H20" s="191"/>
      <c r="I20" s="191"/>
      <c r="J20" s="191"/>
      <c r="K20" s="191"/>
      <c r="L20" s="191"/>
      <c r="M20" s="191"/>
      <c r="N20" s="192"/>
    </row>
  </sheetData>
  <mergeCells count="2">
    <mergeCell ref="B4:N11"/>
    <mergeCell ref="B13:N20"/>
  </mergeCells>
  <pageMargins left="0.70866141732283472" right="0.70866141732283472" top="0.74803149606299213" bottom="0.74803149606299213" header="0.31496062992125984" footer="0.31496062992125984"/>
  <pageSetup paperSize="9" scale="57" orientation="portrait" r:id="rId1"/>
  <headerFooter>
    <oddFooter>&amp;LFormat ref.- FSTI/BD/QSF/BPS</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0448-AA91-4EAE-A6C9-6BA397E689FC}">
  <dimension ref="B1:H151"/>
  <sheetViews>
    <sheetView showGridLines="0" tabSelected="1" topLeftCell="A65" zoomScaleNormal="100" workbookViewId="0">
      <selection activeCell="B22" sqref="B22"/>
    </sheetView>
  </sheetViews>
  <sheetFormatPr defaultRowHeight="14.4" x14ac:dyDescent="0.3"/>
  <cols>
    <col min="1" max="1" width="2.6640625" customWidth="1"/>
    <col min="2" max="2" width="59.6640625" customWidth="1"/>
    <col min="3" max="3" width="49.6640625" customWidth="1"/>
    <col min="4" max="4" width="13.88671875" customWidth="1"/>
    <col min="5" max="5" width="12.5546875" customWidth="1"/>
  </cols>
  <sheetData>
    <row r="1" spans="2:7" ht="18.600000000000001" thickBot="1" x14ac:dyDescent="0.4">
      <c r="B1" s="201" t="s">
        <v>19</v>
      </c>
      <c r="C1" s="202"/>
      <c r="D1" s="202"/>
      <c r="E1" s="202"/>
      <c r="F1" s="202"/>
      <c r="G1" s="203"/>
    </row>
    <row r="3" spans="2:7" x14ac:dyDescent="0.3">
      <c r="B3" s="104" t="s">
        <v>43</v>
      </c>
      <c r="C3" s="16"/>
    </row>
    <row r="4" spans="2:7" ht="15" x14ac:dyDescent="0.3">
      <c r="B4" s="25" t="s">
        <v>24</v>
      </c>
      <c r="C4" s="28"/>
    </row>
    <row r="5" spans="2:7" ht="15" x14ac:dyDescent="0.3">
      <c r="B5" s="25" t="s">
        <v>25</v>
      </c>
      <c r="C5" s="28"/>
      <c r="F5" s="18"/>
    </row>
    <row r="6" spans="2:7" ht="15" x14ac:dyDescent="0.3">
      <c r="B6" s="25" t="s">
        <v>26</v>
      </c>
      <c r="C6" s="28"/>
    </row>
    <row r="7" spans="2:7" x14ac:dyDescent="0.3">
      <c r="B7" s="18"/>
    </row>
    <row r="8" spans="2:7" x14ac:dyDescent="0.3">
      <c r="B8" s="104" t="s">
        <v>44</v>
      </c>
      <c r="C8" s="16"/>
    </row>
    <row r="9" spans="2:7" ht="15" x14ac:dyDescent="0.3">
      <c r="B9" s="25" t="s">
        <v>27</v>
      </c>
      <c r="C9" s="16"/>
      <c r="D9" s="20"/>
    </row>
    <row r="10" spans="2:7" ht="15" x14ac:dyDescent="0.3">
      <c r="B10" s="25" t="s">
        <v>28</v>
      </c>
      <c r="C10" s="33"/>
    </row>
    <row r="11" spans="2:7" ht="15.75" customHeight="1" x14ac:dyDescent="0.3">
      <c r="B11" s="17"/>
    </row>
    <row r="12" spans="2:7" x14ac:dyDescent="0.3">
      <c r="B12" s="104" t="s">
        <v>45</v>
      </c>
      <c r="C12" s="16"/>
    </row>
    <row r="13" spans="2:7" ht="15" x14ac:dyDescent="0.3">
      <c r="B13" s="25" t="s">
        <v>27</v>
      </c>
      <c r="C13" s="16"/>
      <c r="D13" s="20"/>
    </row>
    <row r="14" spans="2:7" x14ac:dyDescent="0.3">
      <c r="B14" s="25" t="s">
        <v>29</v>
      </c>
      <c r="C14" s="34"/>
    </row>
    <row r="15" spans="2:7" x14ac:dyDescent="0.3">
      <c r="B15" s="18"/>
    </row>
    <row r="16" spans="2:7" x14ac:dyDescent="0.3">
      <c r="B16" s="104" t="s">
        <v>126</v>
      </c>
      <c r="C16" s="16" t="s">
        <v>204</v>
      </c>
    </row>
    <row r="17" spans="2:8" x14ac:dyDescent="0.3">
      <c r="B17" s="18"/>
    </row>
    <row r="18" spans="2:8" x14ac:dyDescent="0.3">
      <c r="B18" s="18"/>
    </row>
    <row r="19" spans="2:8" x14ac:dyDescent="0.3">
      <c r="B19" s="104" t="s">
        <v>127</v>
      </c>
      <c r="C19" s="113" t="s">
        <v>209</v>
      </c>
    </row>
    <row r="20" spans="2:8" ht="15" x14ac:dyDescent="0.3">
      <c r="B20" s="84" t="s">
        <v>30</v>
      </c>
      <c r="C20" s="37"/>
      <c r="F20" s="20"/>
    </row>
    <row r="21" spans="2:8" x14ac:dyDescent="0.3">
      <c r="B21" s="84" t="s">
        <v>31</v>
      </c>
      <c r="C21" s="37"/>
    </row>
    <row r="22" spans="2:8" ht="15" x14ac:dyDescent="0.3">
      <c r="B22" s="84" t="s">
        <v>32</v>
      </c>
      <c r="C22" s="90"/>
    </row>
    <row r="23" spans="2:8" x14ac:dyDescent="0.3">
      <c r="B23" s="84" t="s">
        <v>33</v>
      </c>
      <c r="C23" s="37"/>
      <c r="D23" s="21"/>
    </row>
    <row r="24" spans="2:8" ht="15" x14ac:dyDescent="0.3">
      <c r="B24" s="84" t="s">
        <v>34</v>
      </c>
      <c r="C24" s="37"/>
      <c r="E24" s="20"/>
    </row>
    <row r="25" spans="2:8" ht="15" x14ac:dyDescent="0.3">
      <c r="B25" s="91" t="s">
        <v>35</v>
      </c>
      <c r="C25" s="92"/>
      <c r="F25" s="20"/>
    </row>
    <row r="26" spans="2:8" x14ac:dyDescent="0.3">
      <c r="B26" s="25" t="s">
        <v>46</v>
      </c>
      <c r="C26" s="193"/>
      <c r="D26" s="193"/>
      <c r="E26" s="193"/>
      <c r="F26" s="193"/>
      <c r="G26" s="193"/>
      <c r="H26" s="193"/>
    </row>
    <row r="27" spans="2:8" x14ac:dyDescent="0.3">
      <c r="B27" s="18"/>
    </row>
    <row r="28" spans="2:8" x14ac:dyDescent="0.3">
      <c r="B28" s="110" t="s">
        <v>128</v>
      </c>
      <c r="C28" s="205" t="s">
        <v>210</v>
      </c>
      <c r="D28" s="205"/>
      <c r="E28" s="205"/>
      <c r="F28" s="205"/>
      <c r="G28" s="205"/>
      <c r="H28" s="205"/>
    </row>
    <row r="29" spans="2:8" x14ac:dyDescent="0.3">
      <c r="B29" s="18"/>
    </row>
    <row r="30" spans="2:8" ht="15.6" x14ac:dyDescent="0.3">
      <c r="B30" s="104" t="s">
        <v>129</v>
      </c>
      <c r="C30" s="16"/>
      <c r="D30" s="206" t="s">
        <v>119</v>
      </c>
      <c r="E30" s="207"/>
      <c r="F30" s="207"/>
      <c r="G30" s="207"/>
      <c r="H30" s="207"/>
    </row>
    <row r="31" spans="2:8" x14ac:dyDescent="0.3">
      <c r="B31" s="25" t="s">
        <v>118</v>
      </c>
      <c r="C31" s="16"/>
      <c r="D31" s="169"/>
      <c r="E31" s="169"/>
      <c r="F31" s="169"/>
      <c r="G31" s="169"/>
      <c r="H31" s="169"/>
    </row>
    <row r="32" spans="2:8" x14ac:dyDescent="0.3">
      <c r="B32" s="25" t="s">
        <v>120</v>
      </c>
      <c r="C32" s="16"/>
      <c r="D32" s="169"/>
      <c r="E32" s="169"/>
      <c r="F32" s="169"/>
      <c r="G32" s="169"/>
      <c r="H32" s="169"/>
    </row>
    <row r="33" spans="2:8" x14ac:dyDescent="0.3">
      <c r="B33" s="18"/>
    </row>
    <row r="34" spans="2:8" ht="27.75" customHeight="1" x14ac:dyDescent="0.3">
      <c r="B34" s="104" t="s">
        <v>130</v>
      </c>
      <c r="C34" s="16"/>
      <c r="D34" s="208" t="s">
        <v>123</v>
      </c>
      <c r="E34" s="208"/>
      <c r="F34" s="208"/>
      <c r="G34" s="208"/>
      <c r="H34" s="208"/>
    </row>
    <row r="35" spans="2:8" x14ac:dyDescent="0.3">
      <c r="B35" s="25" t="s">
        <v>121</v>
      </c>
      <c r="C35" s="16"/>
      <c r="D35" s="209"/>
      <c r="E35" s="209"/>
      <c r="F35" s="209"/>
      <c r="G35" s="209"/>
      <c r="H35" s="209"/>
    </row>
    <row r="36" spans="2:8" x14ac:dyDescent="0.3">
      <c r="B36" s="25" t="s">
        <v>122</v>
      </c>
      <c r="C36" s="16"/>
      <c r="D36" s="209"/>
      <c r="E36" s="209"/>
      <c r="F36" s="209"/>
      <c r="G36" s="209"/>
      <c r="H36" s="209"/>
    </row>
    <row r="37" spans="2:8" x14ac:dyDescent="0.3">
      <c r="B37" s="18"/>
    </row>
    <row r="38" spans="2:8" x14ac:dyDescent="0.3">
      <c r="B38" s="104" t="s">
        <v>131</v>
      </c>
      <c r="C38" s="16"/>
    </row>
    <row r="39" spans="2:8" ht="15" x14ac:dyDescent="0.3">
      <c r="B39" s="25" t="s">
        <v>27</v>
      </c>
      <c r="C39" s="16"/>
      <c r="D39" s="20"/>
    </row>
    <row r="40" spans="2:8" ht="15" x14ac:dyDescent="0.3">
      <c r="B40" s="25" t="s">
        <v>29</v>
      </c>
      <c r="C40" s="33"/>
    </row>
    <row r="41" spans="2:8" x14ac:dyDescent="0.3">
      <c r="B41" s="18"/>
    </row>
    <row r="42" spans="2:8" x14ac:dyDescent="0.3">
      <c r="B42" s="104" t="s">
        <v>203</v>
      </c>
      <c r="C42" s="37"/>
    </row>
    <row r="43" spans="2:8" x14ac:dyDescent="0.3">
      <c r="B43" s="40" t="s">
        <v>47</v>
      </c>
      <c r="C43" s="16"/>
    </row>
    <row r="44" spans="2:8" ht="15" x14ac:dyDescent="0.3">
      <c r="B44" s="25" t="s">
        <v>71</v>
      </c>
      <c r="C44" s="33"/>
    </row>
    <row r="45" spans="2:8" ht="15" x14ac:dyDescent="0.3">
      <c r="B45" s="25" t="s">
        <v>70</v>
      </c>
      <c r="C45" s="33"/>
    </row>
    <row r="46" spans="2:8" x14ac:dyDescent="0.3">
      <c r="B46" s="17"/>
    </row>
    <row r="47" spans="2:8" ht="39.6" x14ac:dyDescent="0.3">
      <c r="B47" s="31" t="s">
        <v>48</v>
      </c>
      <c r="C47" s="210" t="s">
        <v>139</v>
      </c>
      <c r="D47" s="210"/>
      <c r="E47" s="210"/>
      <c r="F47" s="210"/>
      <c r="G47" s="210"/>
      <c r="H47" s="210"/>
    </row>
    <row r="48" spans="2:8" x14ac:dyDescent="0.3">
      <c r="B48" s="17"/>
    </row>
    <row r="49" spans="2:8" x14ac:dyDescent="0.3">
      <c r="B49" s="32" t="s">
        <v>49</v>
      </c>
      <c r="C49" s="16"/>
    </row>
    <row r="50" spans="2:8" ht="15" x14ac:dyDescent="0.3">
      <c r="B50" s="25" t="s">
        <v>36</v>
      </c>
      <c r="C50" s="33"/>
      <c r="F50" s="20"/>
    </row>
    <row r="51" spans="2:8" ht="15" x14ac:dyDescent="0.3">
      <c r="B51" s="25" t="s">
        <v>37</v>
      </c>
      <c r="C51" s="33"/>
      <c r="F51" s="20"/>
    </row>
    <row r="52" spans="2:8" ht="15" x14ac:dyDescent="0.3">
      <c r="B52" s="25" t="s">
        <v>148</v>
      </c>
      <c r="C52" s="33"/>
      <c r="F52" s="20"/>
    </row>
    <row r="53" spans="2:8" x14ac:dyDescent="0.3">
      <c r="B53" s="17"/>
    </row>
    <row r="54" spans="2:8" ht="26.4" x14ac:dyDescent="0.3">
      <c r="B54" s="31" t="s">
        <v>50</v>
      </c>
      <c r="C54" s="210" t="s">
        <v>139</v>
      </c>
      <c r="D54" s="210"/>
      <c r="E54" s="210"/>
      <c r="F54" s="210"/>
      <c r="G54" s="210"/>
      <c r="H54" s="210"/>
    </row>
    <row r="55" spans="2:8" x14ac:dyDescent="0.3">
      <c r="B55" s="18"/>
    </row>
    <row r="56" spans="2:8" x14ac:dyDescent="0.3">
      <c r="B56" s="106" t="s">
        <v>202</v>
      </c>
      <c r="C56" s="65"/>
    </row>
    <row r="57" spans="2:8" x14ac:dyDescent="0.3">
      <c r="B57" s="26" t="s">
        <v>51</v>
      </c>
      <c r="C57" s="210" t="s">
        <v>139</v>
      </c>
      <c r="D57" s="210"/>
      <c r="E57" s="210"/>
      <c r="F57" s="210"/>
      <c r="G57" s="210"/>
      <c r="H57" s="210"/>
    </row>
    <row r="58" spans="2:8" x14ac:dyDescent="0.3">
      <c r="B58" s="17"/>
      <c r="C58" s="111"/>
      <c r="D58" s="111"/>
      <c r="E58" s="111"/>
      <c r="F58" s="111"/>
      <c r="G58" s="111"/>
      <c r="H58" s="111"/>
    </row>
    <row r="59" spans="2:8" ht="26.25" customHeight="1" x14ac:dyDescent="0.3">
      <c r="B59" s="31" t="s">
        <v>52</v>
      </c>
      <c r="C59" s="210" t="s">
        <v>139</v>
      </c>
      <c r="D59" s="210"/>
      <c r="E59" s="210"/>
      <c r="F59" s="210"/>
      <c r="G59" s="210"/>
      <c r="H59" s="210"/>
    </row>
    <row r="60" spans="2:8" x14ac:dyDescent="0.3">
      <c r="B60" s="17"/>
      <c r="C60" s="111"/>
      <c r="D60" s="111"/>
      <c r="E60" s="111"/>
      <c r="F60" s="111"/>
      <c r="G60" s="111"/>
      <c r="H60" s="111"/>
    </row>
    <row r="61" spans="2:8" ht="39.6" x14ac:dyDescent="0.3">
      <c r="B61" s="31" t="s">
        <v>53</v>
      </c>
      <c r="C61" s="210" t="s">
        <v>139</v>
      </c>
      <c r="D61" s="210"/>
      <c r="E61" s="210"/>
      <c r="F61" s="210"/>
      <c r="G61" s="210"/>
      <c r="H61" s="210"/>
    </row>
    <row r="62" spans="2:8" s="204" customFormat="1" x14ac:dyDescent="0.3"/>
    <row r="63" spans="2:8" s="8" customFormat="1" x14ac:dyDescent="0.3">
      <c r="B63" s="32" t="s">
        <v>200</v>
      </c>
      <c r="C63" s="16"/>
    </row>
    <row r="64" spans="2:8" s="8" customFormat="1" ht="15" x14ac:dyDescent="0.3">
      <c r="B64" s="25" t="s">
        <v>36</v>
      </c>
      <c r="C64" s="33"/>
    </row>
    <row r="65" spans="2:8" s="8" customFormat="1" ht="15" x14ac:dyDescent="0.3">
      <c r="B65" s="25" t="s">
        <v>37</v>
      </c>
      <c r="C65" s="33"/>
    </row>
    <row r="66" spans="2:8" s="8" customFormat="1" ht="15" x14ac:dyDescent="0.3">
      <c r="B66" s="25" t="s">
        <v>148</v>
      </c>
      <c r="C66" s="33"/>
    </row>
    <row r="67" spans="2:8" x14ac:dyDescent="0.3">
      <c r="B67" s="86" t="s">
        <v>197</v>
      </c>
      <c r="C67" s="16"/>
    </row>
    <row r="68" spans="2:8" x14ac:dyDescent="0.3">
      <c r="B68" s="89"/>
    </row>
    <row r="69" spans="2:8" ht="33" customHeight="1" x14ac:dyDescent="0.3">
      <c r="B69" s="86" t="s">
        <v>198</v>
      </c>
      <c r="C69" s="16"/>
    </row>
    <row r="70" spans="2:8" ht="29.25" customHeight="1" x14ac:dyDescent="0.3">
      <c r="B70" s="25" t="s">
        <v>199</v>
      </c>
      <c r="C70" s="16"/>
    </row>
    <row r="71" spans="2:8" ht="33" customHeight="1" x14ac:dyDescent="0.3">
      <c r="B71" s="25" t="s">
        <v>145</v>
      </c>
      <c r="C71" s="33"/>
    </row>
    <row r="72" spans="2:8" ht="33" customHeight="1" x14ac:dyDescent="0.3">
      <c r="B72" s="25" t="s">
        <v>39</v>
      </c>
      <c r="C72" s="16"/>
    </row>
    <row r="73" spans="2:8" ht="33" customHeight="1" x14ac:dyDescent="0.3">
      <c r="B73" s="25" t="s">
        <v>146</v>
      </c>
      <c r="C73" s="16"/>
    </row>
    <row r="74" spans="2:8" x14ac:dyDescent="0.3">
      <c r="B74" s="17"/>
    </row>
    <row r="75" spans="2:8" x14ac:dyDescent="0.3">
      <c r="B75" s="106" t="s">
        <v>201</v>
      </c>
      <c r="C75" s="37"/>
    </row>
    <row r="76" spans="2:8" ht="27.75" customHeight="1" x14ac:dyDescent="0.3">
      <c r="B76" s="31" t="s">
        <v>54</v>
      </c>
      <c r="C76" s="193"/>
      <c r="D76" s="193"/>
      <c r="E76" s="193"/>
      <c r="F76" s="193"/>
      <c r="G76" s="193"/>
      <c r="H76" s="193"/>
    </row>
    <row r="77" spans="2:8" x14ac:dyDescent="0.3">
      <c r="B77" s="35"/>
      <c r="C77" s="7"/>
      <c r="D77" s="7"/>
      <c r="E77" s="7"/>
      <c r="F77" s="7"/>
      <c r="G77" s="7"/>
      <c r="H77" s="7"/>
    </row>
    <row r="78" spans="2:8" ht="26.25" customHeight="1" x14ac:dyDescent="0.3">
      <c r="B78" s="100" t="s">
        <v>72</v>
      </c>
      <c r="C78" s="108"/>
    </row>
    <row r="79" spans="2:8" ht="42" customHeight="1" x14ac:dyDescent="0.3">
      <c r="B79" s="99" t="s">
        <v>147</v>
      </c>
      <c r="C79" s="108"/>
    </row>
    <row r="80" spans="2:8" ht="36.75" customHeight="1" x14ac:dyDescent="0.3">
      <c r="B80" s="99" t="s">
        <v>145</v>
      </c>
      <c r="C80" s="107"/>
    </row>
    <row r="81" spans="2:8" ht="32.25" customHeight="1" x14ac:dyDescent="0.3">
      <c r="B81" s="99" t="s">
        <v>39</v>
      </c>
      <c r="C81" s="108"/>
    </row>
    <row r="82" spans="2:8" ht="44.25" customHeight="1" x14ac:dyDescent="0.3">
      <c r="B82" s="99" t="s">
        <v>146</v>
      </c>
      <c r="C82" s="108"/>
    </row>
    <row r="83" spans="2:8" ht="27" customHeight="1" x14ac:dyDescent="0.3">
      <c r="B83" s="102"/>
      <c r="C83" s="102"/>
    </row>
    <row r="84" spans="2:8" ht="26.25" customHeight="1" x14ac:dyDescent="0.3">
      <c r="B84" s="105" t="s">
        <v>187</v>
      </c>
      <c r="C84" s="169"/>
      <c r="D84" s="169"/>
      <c r="E84" s="169"/>
      <c r="F84" s="169"/>
      <c r="G84" s="169"/>
      <c r="H84" s="169"/>
    </row>
    <row r="85" spans="2:8" ht="26.25" customHeight="1" x14ac:dyDescent="0.3">
      <c r="B85" s="109" t="s">
        <v>189</v>
      </c>
      <c r="C85" s="193"/>
      <c r="D85" s="193"/>
      <c r="E85" s="193"/>
      <c r="F85" s="193"/>
      <c r="G85" s="193"/>
      <c r="H85" s="193"/>
    </row>
    <row r="86" spans="2:8" ht="26.25" customHeight="1" x14ac:dyDescent="0.3">
      <c r="B86" s="109" t="s">
        <v>190</v>
      </c>
      <c r="C86" s="193"/>
      <c r="D86" s="193"/>
      <c r="E86" s="193"/>
      <c r="F86" s="193"/>
      <c r="G86" s="193"/>
      <c r="H86" s="193"/>
    </row>
    <row r="87" spans="2:8" x14ac:dyDescent="0.3">
      <c r="B87" s="87"/>
      <c r="C87" s="7"/>
      <c r="D87" s="7"/>
      <c r="E87" s="7"/>
      <c r="F87" s="7"/>
      <c r="G87" s="7"/>
      <c r="H87" s="7"/>
    </row>
    <row r="88" spans="2:8" x14ac:dyDescent="0.3">
      <c r="B88" s="104" t="s">
        <v>188</v>
      </c>
      <c r="C88" s="193"/>
      <c r="D88" s="193"/>
      <c r="E88" s="193"/>
      <c r="F88" s="193"/>
      <c r="G88" s="193"/>
      <c r="H88" s="193"/>
    </row>
    <row r="89" spans="2:8" x14ac:dyDescent="0.3">
      <c r="B89" s="88" t="s">
        <v>140</v>
      </c>
      <c r="C89" s="193"/>
      <c r="D89" s="193"/>
      <c r="E89" s="193"/>
      <c r="F89" s="193"/>
      <c r="G89" s="193"/>
      <c r="H89" s="193"/>
    </row>
    <row r="90" spans="2:8" x14ac:dyDescent="0.3">
      <c r="B90" s="88" t="s">
        <v>141</v>
      </c>
      <c r="C90" s="193"/>
      <c r="D90" s="193"/>
      <c r="E90" s="193"/>
      <c r="F90" s="193"/>
      <c r="G90" s="193"/>
      <c r="H90" s="193"/>
    </row>
    <row r="92" spans="2:8" x14ac:dyDescent="0.3">
      <c r="B92" s="104" t="s">
        <v>191</v>
      </c>
      <c r="C92" s="16"/>
      <c r="D92" s="112" t="s">
        <v>142</v>
      </c>
    </row>
    <row r="93" spans="2:8" ht="15" x14ac:dyDescent="0.3">
      <c r="B93" s="25" t="s">
        <v>38</v>
      </c>
      <c r="C93" s="16"/>
      <c r="D93" s="20"/>
    </row>
    <row r="94" spans="2:8" ht="15" x14ac:dyDescent="0.3">
      <c r="B94" s="25" t="s">
        <v>39</v>
      </c>
      <c r="C94" s="16"/>
      <c r="D94" s="20"/>
    </row>
    <row r="95" spans="2:8" x14ac:dyDescent="0.3">
      <c r="B95" s="17"/>
    </row>
    <row r="96" spans="2:8" x14ac:dyDescent="0.3">
      <c r="B96" s="27" t="s">
        <v>40</v>
      </c>
      <c r="C96" s="16"/>
    </row>
    <row r="97" spans="2:7" ht="15" x14ac:dyDescent="0.3">
      <c r="B97" s="25" t="s">
        <v>55</v>
      </c>
      <c r="C97" s="16"/>
      <c r="G97" s="19"/>
    </row>
    <row r="98" spans="2:7" ht="30" customHeight="1" x14ac:dyDescent="0.3">
      <c r="B98" s="30" t="s">
        <v>56</v>
      </c>
      <c r="C98" s="28"/>
    </row>
    <row r="99" spans="2:7" x14ac:dyDescent="0.3">
      <c r="B99" s="30" t="s">
        <v>57</v>
      </c>
      <c r="C99" s="16"/>
      <c r="F99" s="22"/>
    </row>
    <row r="100" spans="2:7" x14ac:dyDescent="0.3">
      <c r="B100" s="84" t="s">
        <v>104</v>
      </c>
      <c r="C100" s="16"/>
    </row>
    <row r="101" spans="2:7" x14ac:dyDescent="0.3">
      <c r="B101" s="84" t="s">
        <v>105</v>
      </c>
      <c r="C101" s="16"/>
    </row>
    <row r="102" spans="2:7" x14ac:dyDescent="0.3">
      <c r="B102" s="85"/>
    </row>
    <row r="103" spans="2:7" x14ac:dyDescent="0.3">
      <c r="B103" s="105" t="s">
        <v>192</v>
      </c>
      <c r="C103" s="16" t="s">
        <v>113</v>
      </c>
    </row>
    <row r="104" spans="2:7" x14ac:dyDescent="0.3">
      <c r="B104" s="86" t="s">
        <v>114</v>
      </c>
      <c r="C104" s="16" t="s">
        <v>108</v>
      </c>
      <c r="D104" s="67" t="s">
        <v>107</v>
      </c>
      <c r="E104" s="67" t="s">
        <v>109</v>
      </c>
    </row>
    <row r="105" spans="2:7" x14ac:dyDescent="0.3">
      <c r="B105" s="86" t="s">
        <v>115</v>
      </c>
      <c r="C105" s="16" t="s">
        <v>110</v>
      </c>
      <c r="D105" s="67" t="s">
        <v>108</v>
      </c>
      <c r="E105" s="67" t="s">
        <v>110</v>
      </c>
    </row>
    <row r="106" spans="2:7" x14ac:dyDescent="0.3">
      <c r="B106" s="85"/>
      <c r="D106" s="67"/>
      <c r="E106" s="67" t="s">
        <v>111</v>
      </c>
    </row>
    <row r="107" spans="2:7" x14ac:dyDescent="0.3">
      <c r="B107" s="85"/>
      <c r="D107" s="67"/>
      <c r="E107" s="67"/>
    </row>
    <row r="108" spans="2:7" x14ac:dyDescent="0.3">
      <c r="B108" s="105" t="s">
        <v>193</v>
      </c>
      <c r="C108" s="16" t="s">
        <v>116</v>
      </c>
      <c r="D108" s="67" t="s">
        <v>116</v>
      </c>
      <c r="E108" s="67"/>
    </row>
    <row r="109" spans="2:7" s="65" customFormat="1" x14ac:dyDescent="0.3">
      <c r="B109" s="66"/>
      <c r="D109" s="67" t="s">
        <v>117</v>
      </c>
      <c r="E109" s="67"/>
    </row>
    <row r="110" spans="2:7" s="65" customFormat="1" x14ac:dyDescent="0.3">
      <c r="B110" s="66"/>
      <c r="D110" s="67"/>
      <c r="E110" s="67"/>
    </row>
    <row r="111" spans="2:7" x14ac:dyDescent="0.3">
      <c r="B111" s="104" t="s">
        <v>194</v>
      </c>
      <c r="C111" s="16"/>
      <c r="D111" s="67"/>
      <c r="E111" s="67" t="s">
        <v>112</v>
      </c>
    </row>
    <row r="112" spans="2:7" ht="15" x14ac:dyDescent="0.3">
      <c r="B112" s="30" t="s">
        <v>58</v>
      </c>
      <c r="C112" s="28"/>
      <c r="D112" s="67"/>
      <c r="E112" s="67"/>
    </row>
    <row r="113" spans="2:6" ht="15" x14ac:dyDescent="0.3">
      <c r="B113" s="25" t="s">
        <v>59</v>
      </c>
      <c r="C113" s="16"/>
      <c r="E113" s="19"/>
    </row>
    <row r="114" spans="2:6" x14ac:dyDescent="0.3">
      <c r="B114" s="18"/>
    </row>
    <row r="115" spans="2:6" x14ac:dyDescent="0.3">
      <c r="B115" s="104" t="s">
        <v>195</v>
      </c>
      <c r="C115" s="16"/>
    </row>
    <row r="116" spans="2:6" ht="15" x14ac:dyDescent="0.3">
      <c r="B116" s="25" t="s">
        <v>60</v>
      </c>
      <c r="C116" s="16"/>
      <c r="E116" s="19"/>
    </row>
    <row r="117" spans="2:6" ht="15" x14ac:dyDescent="0.3">
      <c r="B117" s="29" t="s">
        <v>61</v>
      </c>
      <c r="C117" s="64"/>
      <c r="E117" s="19"/>
    </row>
    <row r="118" spans="2:6" x14ac:dyDescent="0.3">
      <c r="B118" s="25" t="s">
        <v>41</v>
      </c>
      <c r="C118" s="16"/>
    </row>
    <row r="119" spans="2:6" x14ac:dyDescent="0.3">
      <c r="B119" s="18"/>
    </row>
    <row r="120" spans="2:6" x14ac:dyDescent="0.3">
      <c r="B120" s="104" t="s">
        <v>196</v>
      </c>
      <c r="C120" s="114" t="s">
        <v>211</v>
      </c>
    </row>
    <row r="121" spans="2:6" ht="15" x14ac:dyDescent="0.3">
      <c r="B121" s="25" t="s">
        <v>62</v>
      </c>
      <c r="C121" s="16"/>
      <c r="F121" s="19"/>
    </row>
    <row r="122" spans="2:6" ht="15" x14ac:dyDescent="0.3">
      <c r="B122" s="25" t="s">
        <v>63</v>
      </c>
      <c r="C122" s="16"/>
      <c r="F122" s="19"/>
    </row>
    <row r="123" spans="2:6" ht="15" x14ac:dyDescent="0.3">
      <c r="B123" s="84" t="s">
        <v>106</v>
      </c>
      <c r="C123" s="37"/>
      <c r="F123" s="19"/>
    </row>
    <row r="125" spans="2:6" x14ac:dyDescent="0.3">
      <c r="B125" s="27" t="s">
        <v>42</v>
      </c>
      <c r="C125" s="16" t="s">
        <v>212</v>
      </c>
    </row>
    <row r="126" spans="2:6" ht="15" x14ac:dyDescent="0.3">
      <c r="B126" s="30" t="s">
        <v>64</v>
      </c>
      <c r="C126" s="16"/>
      <c r="D126" s="23"/>
    </row>
    <row r="127" spans="2:6" ht="15" x14ac:dyDescent="0.3">
      <c r="B127" s="30" t="s">
        <v>65</v>
      </c>
      <c r="C127" s="16"/>
      <c r="D127" s="23"/>
    </row>
    <row r="128" spans="2:6" x14ac:dyDescent="0.3">
      <c r="B128" s="30" t="s">
        <v>69</v>
      </c>
      <c r="C128" s="16"/>
    </row>
    <row r="129" spans="2:8" x14ac:dyDescent="0.3">
      <c r="B129" s="30" t="s">
        <v>143</v>
      </c>
      <c r="C129" s="16"/>
    </row>
    <row r="130" spans="2:8" ht="15" x14ac:dyDescent="0.3">
      <c r="B130" s="25" t="s">
        <v>66</v>
      </c>
      <c r="C130" s="16"/>
      <c r="F130" s="24"/>
    </row>
    <row r="131" spans="2:8" x14ac:dyDescent="0.3">
      <c r="B131" s="18"/>
    </row>
    <row r="132" spans="2:8" x14ac:dyDescent="0.3">
      <c r="B132" s="104" t="s">
        <v>205</v>
      </c>
      <c r="C132" s="16"/>
    </row>
    <row r="133" spans="2:8" ht="15" x14ac:dyDescent="0.3">
      <c r="B133" s="25" t="s">
        <v>62</v>
      </c>
      <c r="C133" s="16"/>
      <c r="F133" s="24"/>
    </row>
    <row r="134" spans="2:8" ht="15" x14ac:dyDescent="0.3">
      <c r="B134" s="25" t="s">
        <v>67</v>
      </c>
      <c r="C134" s="16"/>
      <c r="F134" s="24"/>
    </row>
    <row r="135" spans="2:8" ht="15" x14ac:dyDescent="0.3">
      <c r="B135" s="25" t="s">
        <v>68</v>
      </c>
      <c r="C135" s="16"/>
      <c r="F135" s="24"/>
    </row>
    <row r="136" spans="2:8" x14ac:dyDescent="0.3">
      <c r="B136" s="18"/>
    </row>
    <row r="137" spans="2:8" x14ac:dyDescent="0.3">
      <c r="B137" s="103" t="s">
        <v>206</v>
      </c>
      <c r="C137" s="16"/>
    </row>
    <row r="138" spans="2:8" ht="15" x14ac:dyDescent="0.3">
      <c r="B138" s="25" t="s">
        <v>125</v>
      </c>
      <c r="C138" s="16"/>
      <c r="F138" s="24"/>
    </row>
    <row r="139" spans="2:8" ht="15" x14ac:dyDescent="0.3">
      <c r="B139" s="25" t="s">
        <v>67</v>
      </c>
      <c r="C139" s="16"/>
      <c r="F139" s="24"/>
    </row>
    <row r="140" spans="2:8" x14ac:dyDescent="0.3">
      <c r="B140" s="84" t="s">
        <v>149</v>
      </c>
      <c r="C140" s="193"/>
      <c r="D140" s="193"/>
      <c r="E140" s="193"/>
      <c r="F140" s="193"/>
      <c r="G140" s="193"/>
      <c r="H140" s="193"/>
    </row>
    <row r="143" spans="2:8" x14ac:dyDescent="0.3">
      <c r="B143" s="103" t="s">
        <v>207</v>
      </c>
      <c r="C143" s="193"/>
      <c r="D143" s="193"/>
      <c r="E143" s="193"/>
      <c r="F143" s="193"/>
      <c r="G143" s="193"/>
      <c r="H143" s="193"/>
    </row>
    <row r="146" spans="2:8" x14ac:dyDescent="0.3">
      <c r="B146" s="194" t="s">
        <v>208</v>
      </c>
      <c r="C146" s="194"/>
      <c r="D146" s="194"/>
      <c r="E146" s="194"/>
      <c r="F146" s="194"/>
      <c r="G146" s="194"/>
      <c r="H146" s="194"/>
    </row>
    <row r="147" spans="2:8" ht="70.5" customHeight="1" x14ac:dyDescent="0.3">
      <c r="B147" s="198"/>
      <c r="C147" s="199"/>
      <c r="D147" s="199"/>
      <c r="E147" s="199"/>
      <c r="F147" s="199"/>
      <c r="G147" s="199"/>
      <c r="H147" s="200"/>
    </row>
    <row r="150" spans="2:8" x14ac:dyDescent="0.3">
      <c r="B150" s="197" t="s">
        <v>124</v>
      </c>
      <c r="C150" s="197"/>
      <c r="D150" s="197"/>
      <c r="E150" s="197"/>
      <c r="F150" s="197"/>
      <c r="G150" s="197"/>
      <c r="H150" s="197"/>
    </row>
    <row r="151" spans="2:8" ht="384.75" customHeight="1" x14ac:dyDescent="0.3">
      <c r="B151" s="195" t="s">
        <v>144</v>
      </c>
      <c r="C151" s="196"/>
      <c r="D151" s="196"/>
      <c r="E151" s="196"/>
      <c r="F151" s="196"/>
      <c r="G151" s="196"/>
      <c r="H151" s="196"/>
    </row>
  </sheetData>
  <mergeCells count="28">
    <mergeCell ref="B1:G1"/>
    <mergeCell ref="A62:XFD62"/>
    <mergeCell ref="C26:H26"/>
    <mergeCell ref="C28:H28"/>
    <mergeCell ref="D32:H32"/>
    <mergeCell ref="D30:H30"/>
    <mergeCell ref="D34:H34"/>
    <mergeCell ref="D35:H35"/>
    <mergeCell ref="D36:H36"/>
    <mergeCell ref="D31:H31"/>
    <mergeCell ref="C47:H47"/>
    <mergeCell ref="C54:H54"/>
    <mergeCell ref="C57:H57"/>
    <mergeCell ref="C59:H59"/>
    <mergeCell ref="C61:H61"/>
    <mergeCell ref="C88:H88"/>
    <mergeCell ref="C76:H76"/>
    <mergeCell ref="C89:H89"/>
    <mergeCell ref="C90:H90"/>
    <mergeCell ref="C86:H86"/>
    <mergeCell ref="C85:H85"/>
    <mergeCell ref="C84:H84"/>
    <mergeCell ref="C140:H140"/>
    <mergeCell ref="B146:H146"/>
    <mergeCell ref="C143:H143"/>
    <mergeCell ref="B151:H151"/>
    <mergeCell ref="B150:H150"/>
    <mergeCell ref="B147:H147"/>
  </mergeCells>
  <dataValidations count="3">
    <dataValidation type="list" allowBlank="1" showInputMessage="1" showErrorMessage="1" sqref="C104" xr:uid="{8948F487-6E0D-4303-AA41-71CA795F2F16}">
      <formula1>$D$104:$D$105</formula1>
    </dataValidation>
    <dataValidation type="list" allowBlank="1" showInputMessage="1" showErrorMessage="1" sqref="C105" xr:uid="{B5D008E0-5FDE-4A5E-913D-788B98DB9DFF}">
      <formula1>$E$104:$E$111</formula1>
    </dataValidation>
    <dataValidation type="list" allowBlank="1" showInputMessage="1" showErrorMessage="1" sqref="C108" xr:uid="{4B925F96-44FD-4176-BC46-639CC99DF5E2}">
      <formula1>$D$108:$D$109</formula1>
    </dataValidation>
  </dataValidations>
  <pageMargins left="0.70866141732283472" right="0.70866141732283472" top="0.74803149606299213" bottom="0.74803149606299213" header="0.31496062992125984" footer="0.31496062992125984"/>
  <pageSetup paperSize="9" scale="57" orientation="portrait" r:id="rId1"/>
  <headerFooter>
    <oddFooter>&amp;LFormat ref.- FSTI/BD/QSF/BPS</oddFooter>
  </headerFooter>
  <rowBreaks count="1" manualBreakCount="1">
    <brk id="74"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4577" r:id="rId4" name="Check Box 1">
              <controlPr defaultSize="0" autoFill="0" autoLine="0" autoPict="0">
                <anchor moveWithCells="1">
                  <from>
                    <xdr:col>2</xdr:col>
                    <xdr:colOff>182880</xdr:colOff>
                    <xdr:row>2</xdr:row>
                    <xdr:rowOff>175260</xdr:rowOff>
                  </from>
                  <to>
                    <xdr:col>2</xdr:col>
                    <xdr:colOff>525780</xdr:colOff>
                    <xdr:row>4</xdr:row>
                    <xdr:rowOff>7620</xdr:rowOff>
                  </to>
                </anchor>
              </controlPr>
            </control>
          </mc:Choice>
        </mc:AlternateContent>
        <mc:AlternateContent xmlns:mc="http://schemas.openxmlformats.org/markup-compatibility/2006">
          <mc:Choice Requires="x14">
            <control shapeId="24578" r:id="rId5" name="Check Box 2">
              <controlPr defaultSize="0" autoFill="0" autoLine="0" autoPict="0">
                <anchor moveWithCells="1">
                  <from>
                    <xdr:col>2</xdr:col>
                    <xdr:colOff>182880</xdr:colOff>
                    <xdr:row>3</xdr:row>
                    <xdr:rowOff>175260</xdr:rowOff>
                  </from>
                  <to>
                    <xdr:col>2</xdr:col>
                    <xdr:colOff>525780</xdr:colOff>
                    <xdr:row>5</xdr:row>
                    <xdr:rowOff>7620</xdr:rowOff>
                  </to>
                </anchor>
              </controlPr>
            </control>
          </mc:Choice>
        </mc:AlternateContent>
        <mc:AlternateContent xmlns:mc="http://schemas.openxmlformats.org/markup-compatibility/2006">
          <mc:Choice Requires="x14">
            <control shapeId="24579" r:id="rId6" name="Check Box 3">
              <controlPr defaultSize="0" autoFill="0" autoLine="0" autoPict="0">
                <anchor moveWithCells="1">
                  <from>
                    <xdr:col>2</xdr:col>
                    <xdr:colOff>182880</xdr:colOff>
                    <xdr:row>4</xdr:row>
                    <xdr:rowOff>175260</xdr:rowOff>
                  </from>
                  <to>
                    <xdr:col>2</xdr:col>
                    <xdr:colOff>525780</xdr:colOff>
                    <xdr:row>6</xdr:row>
                    <xdr:rowOff>7620</xdr:rowOff>
                  </to>
                </anchor>
              </controlPr>
            </control>
          </mc:Choice>
        </mc:AlternateContent>
        <mc:AlternateContent xmlns:mc="http://schemas.openxmlformats.org/markup-compatibility/2006">
          <mc:Choice Requires="x14">
            <control shapeId="24580" r:id="rId7" name="Check Box 4">
              <controlPr defaultSize="0" autoFill="0" autoLine="0" autoPict="0">
                <anchor moveWithCells="1">
                  <from>
                    <xdr:col>2</xdr:col>
                    <xdr:colOff>182880</xdr:colOff>
                    <xdr:row>8</xdr:row>
                    <xdr:rowOff>175260</xdr:rowOff>
                  </from>
                  <to>
                    <xdr:col>2</xdr:col>
                    <xdr:colOff>525780</xdr:colOff>
                    <xdr:row>10</xdr:row>
                    <xdr:rowOff>7620</xdr:rowOff>
                  </to>
                </anchor>
              </controlPr>
            </control>
          </mc:Choice>
        </mc:AlternateContent>
        <mc:AlternateContent xmlns:mc="http://schemas.openxmlformats.org/markup-compatibility/2006">
          <mc:Choice Requires="x14">
            <control shapeId="24581" r:id="rId8" name="Check Box 5">
              <controlPr defaultSize="0" autoFill="0" autoLine="0" autoPict="0">
                <anchor moveWithCells="1">
                  <from>
                    <xdr:col>2</xdr:col>
                    <xdr:colOff>182880</xdr:colOff>
                    <xdr:row>7</xdr:row>
                    <xdr:rowOff>175260</xdr:rowOff>
                  </from>
                  <to>
                    <xdr:col>2</xdr:col>
                    <xdr:colOff>525780</xdr:colOff>
                    <xdr:row>9</xdr:row>
                    <xdr:rowOff>7620</xdr:rowOff>
                  </to>
                </anchor>
              </controlPr>
            </control>
          </mc:Choice>
        </mc:AlternateContent>
        <mc:AlternateContent xmlns:mc="http://schemas.openxmlformats.org/markup-compatibility/2006">
          <mc:Choice Requires="x14">
            <control shapeId="24583" r:id="rId9" name="Check Box 7">
              <controlPr defaultSize="0" autoFill="0" autoLine="0" autoPict="0">
                <anchor moveWithCells="1">
                  <from>
                    <xdr:col>2</xdr:col>
                    <xdr:colOff>182880</xdr:colOff>
                    <xdr:row>11</xdr:row>
                    <xdr:rowOff>175260</xdr:rowOff>
                  </from>
                  <to>
                    <xdr:col>2</xdr:col>
                    <xdr:colOff>525780</xdr:colOff>
                    <xdr:row>13</xdr:row>
                    <xdr:rowOff>7620</xdr:rowOff>
                  </to>
                </anchor>
              </controlPr>
            </control>
          </mc:Choice>
        </mc:AlternateContent>
        <mc:AlternateContent xmlns:mc="http://schemas.openxmlformats.org/markup-compatibility/2006">
          <mc:Choice Requires="x14">
            <control shapeId="24584" r:id="rId10" name="Check Box 8">
              <controlPr defaultSize="0" autoFill="0" autoLine="0" autoPict="0">
                <anchor moveWithCells="1">
                  <from>
                    <xdr:col>2</xdr:col>
                    <xdr:colOff>182880</xdr:colOff>
                    <xdr:row>12</xdr:row>
                    <xdr:rowOff>175260</xdr:rowOff>
                  </from>
                  <to>
                    <xdr:col>2</xdr:col>
                    <xdr:colOff>525780</xdr:colOff>
                    <xdr:row>14</xdr:row>
                    <xdr:rowOff>7620</xdr:rowOff>
                  </to>
                </anchor>
              </controlPr>
            </control>
          </mc:Choice>
        </mc:AlternateContent>
        <mc:AlternateContent xmlns:mc="http://schemas.openxmlformats.org/markup-compatibility/2006">
          <mc:Choice Requires="x14">
            <control shapeId="24585" r:id="rId11" name="Check Box 9">
              <controlPr defaultSize="0" autoFill="0" autoLine="0" autoPict="0">
                <anchor moveWithCells="1">
                  <from>
                    <xdr:col>2</xdr:col>
                    <xdr:colOff>182880</xdr:colOff>
                    <xdr:row>23</xdr:row>
                    <xdr:rowOff>175260</xdr:rowOff>
                  </from>
                  <to>
                    <xdr:col>2</xdr:col>
                    <xdr:colOff>525780</xdr:colOff>
                    <xdr:row>25</xdr:row>
                    <xdr:rowOff>7620</xdr:rowOff>
                  </to>
                </anchor>
              </controlPr>
            </control>
          </mc:Choice>
        </mc:AlternateContent>
        <mc:AlternateContent xmlns:mc="http://schemas.openxmlformats.org/markup-compatibility/2006">
          <mc:Choice Requires="x14">
            <control shapeId="24586" r:id="rId12" name="Check Box 10">
              <controlPr defaultSize="0" autoFill="0" autoLine="0" autoPict="0">
                <anchor moveWithCells="1">
                  <from>
                    <xdr:col>2</xdr:col>
                    <xdr:colOff>182880</xdr:colOff>
                    <xdr:row>22</xdr:row>
                    <xdr:rowOff>175260</xdr:rowOff>
                  </from>
                  <to>
                    <xdr:col>2</xdr:col>
                    <xdr:colOff>525780</xdr:colOff>
                    <xdr:row>24</xdr:row>
                    <xdr:rowOff>7620</xdr:rowOff>
                  </to>
                </anchor>
              </controlPr>
            </control>
          </mc:Choice>
        </mc:AlternateContent>
        <mc:AlternateContent xmlns:mc="http://schemas.openxmlformats.org/markup-compatibility/2006">
          <mc:Choice Requires="x14">
            <control shapeId="24587" r:id="rId13" name="Check Box 11">
              <controlPr defaultSize="0" autoFill="0" autoLine="0" autoPict="0">
                <anchor moveWithCells="1">
                  <from>
                    <xdr:col>2</xdr:col>
                    <xdr:colOff>182880</xdr:colOff>
                    <xdr:row>21</xdr:row>
                    <xdr:rowOff>175260</xdr:rowOff>
                  </from>
                  <to>
                    <xdr:col>2</xdr:col>
                    <xdr:colOff>525780</xdr:colOff>
                    <xdr:row>23</xdr:row>
                    <xdr:rowOff>7620</xdr:rowOff>
                  </to>
                </anchor>
              </controlPr>
            </control>
          </mc:Choice>
        </mc:AlternateContent>
        <mc:AlternateContent xmlns:mc="http://schemas.openxmlformats.org/markup-compatibility/2006">
          <mc:Choice Requires="x14">
            <control shapeId="24588" r:id="rId14" name="Check Box 12">
              <controlPr defaultSize="0" autoFill="0" autoLine="0" autoPict="0">
                <anchor moveWithCells="1">
                  <from>
                    <xdr:col>2</xdr:col>
                    <xdr:colOff>182880</xdr:colOff>
                    <xdr:row>20</xdr:row>
                    <xdr:rowOff>175260</xdr:rowOff>
                  </from>
                  <to>
                    <xdr:col>2</xdr:col>
                    <xdr:colOff>525780</xdr:colOff>
                    <xdr:row>22</xdr:row>
                    <xdr:rowOff>7620</xdr:rowOff>
                  </to>
                </anchor>
              </controlPr>
            </control>
          </mc:Choice>
        </mc:AlternateContent>
        <mc:AlternateContent xmlns:mc="http://schemas.openxmlformats.org/markup-compatibility/2006">
          <mc:Choice Requires="x14">
            <control shapeId="24589" r:id="rId15" name="Check Box 13">
              <controlPr defaultSize="0" autoFill="0" autoLine="0" autoPict="0">
                <anchor moveWithCells="1">
                  <from>
                    <xdr:col>2</xdr:col>
                    <xdr:colOff>182880</xdr:colOff>
                    <xdr:row>19</xdr:row>
                    <xdr:rowOff>175260</xdr:rowOff>
                  </from>
                  <to>
                    <xdr:col>2</xdr:col>
                    <xdr:colOff>525780</xdr:colOff>
                    <xdr:row>21</xdr:row>
                    <xdr:rowOff>7620</xdr:rowOff>
                  </to>
                </anchor>
              </controlPr>
            </control>
          </mc:Choice>
        </mc:AlternateContent>
        <mc:AlternateContent xmlns:mc="http://schemas.openxmlformats.org/markup-compatibility/2006">
          <mc:Choice Requires="x14">
            <control shapeId="24590" r:id="rId16" name="Check Box 14">
              <controlPr defaultSize="0" autoFill="0" autoLine="0" autoPict="0">
                <anchor moveWithCells="1">
                  <from>
                    <xdr:col>2</xdr:col>
                    <xdr:colOff>2065020</xdr:colOff>
                    <xdr:row>20</xdr:row>
                    <xdr:rowOff>160020</xdr:rowOff>
                  </from>
                  <to>
                    <xdr:col>2</xdr:col>
                    <xdr:colOff>2407920</xdr:colOff>
                    <xdr:row>22</xdr:row>
                    <xdr:rowOff>0</xdr:rowOff>
                  </to>
                </anchor>
              </controlPr>
            </control>
          </mc:Choice>
        </mc:AlternateContent>
        <mc:AlternateContent xmlns:mc="http://schemas.openxmlformats.org/markup-compatibility/2006">
          <mc:Choice Requires="x14">
            <control shapeId="24591" r:id="rId17" name="Check Box 15">
              <controlPr defaultSize="0" autoFill="0" autoLine="0" autoPict="0">
                <anchor moveWithCells="1">
                  <from>
                    <xdr:col>2</xdr:col>
                    <xdr:colOff>182880</xdr:colOff>
                    <xdr:row>37</xdr:row>
                    <xdr:rowOff>175260</xdr:rowOff>
                  </from>
                  <to>
                    <xdr:col>2</xdr:col>
                    <xdr:colOff>525780</xdr:colOff>
                    <xdr:row>39</xdr:row>
                    <xdr:rowOff>7620</xdr:rowOff>
                  </to>
                </anchor>
              </controlPr>
            </control>
          </mc:Choice>
        </mc:AlternateContent>
        <mc:AlternateContent xmlns:mc="http://schemas.openxmlformats.org/markup-compatibility/2006">
          <mc:Choice Requires="x14">
            <control shapeId="24592" r:id="rId18" name="Check Box 16">
              <controlPr defaultSize="0" autoFill="0" autoLine="0" autoPict="0">
                <anchor moveWithCells="1">
                  <from>
                    <xdr:col>2</xdr:col>
                    <xdr:colOff>182880</xdr:colOff>
                    <xdr:row>38</xdr:row>
                    <xdr:rowOff>175260</xdr:rowOff>
                  </from>
                  <to>
                    <xdr:col>2</xdr:col>
                    <xdr:colOff>525780</xdr:colOff>
                    <xdr:row>40</xdr:row>
                    <xdr:rowOff>7620</xdr:rowOff>
                  </to>
                </anchor>
              </controlPr>
            </control>
          </mc:Choice>
        </mc:AlternateContent>
        <mc:AlternateContent xmlns:mc="http://schemas.openxmlformats.org/markup-compatibility/2006">
          <mc:Choice Requires="x14">
            <control shapeId="24593" r:id="rId19" name="Check Box 17">
              <controlPr defaultSize="0" autoFill="0" autoLine="0" autoPict="0">
                <anchor moveWithCells="1">
                  <from>
                    <xdr:col>2</xdr:col>
                    <xdr:colOff>182880</xdr:colOff>
                    <xdr:row>43</xdr:row>
                    <xdr:rowOff>175260</xdr:rowOff>
                  </from>
                  <to>
                    <xdr:col>2</xdr:col>
                    <xdr:colOff>525780</xdr:colOff>
                    <xdr:row>45</xdr:row>
                    <xdr:rowOff>7620</xdr:rowOff>
                  </to>
                </anchor>
              </controlPr>
            </control>
          </mc:Choice>
        </mc:AlternateContent>
        <mc:AlternateContent xmlns:mc="http://schemas.openxmlformats.org/markup-compatibility/2006">
          <mc:Choice Requires="x14">
            <control shapeId="24594" r:id="rId20" name="Check Box 18">
              <controlPr defaultSize="0" autoFill="0" autoLine="0" autoPict="0">
                <anchor moveWithCells="1">
                  <from>
                    <xdr:col>2</xdr:col>
                    <xdr:colOff>190500</xdr:colOff>
                    <xdr:row>43</xdr:row>
                    <xdr:rowOff>22860</xdr:rowOff>
                  </from>
                  <to>
                    <xdr:col>2</xdr:col>
                    <xdr:colOff>533400</xdr:colOff>
                    <xdr:row>43</xdr:row>
                    <xdr:rowOff>160020</xdr:rowOff>
                  </to>
                </anchor>
              </controlPr>
            </control>
          </mc:Choice>
        </mc:AlternateContent>
        <mc:AlternateContent xmlns:mc="http://schemas.openxmlformats.org/markup-compatibility/2006">
          <mc:Choice Requires="x14">
            <control shapeId="24595" r:id="rId21" name="Check Box 19">
              <controlPr defaultSize="0" autoFill="0" autoLine="0" autoPict="0">
                <anchor moveWithCells="1">
                  <from>
                    <xdr:col>2</xdr:col>
                    <xdr:colOff>182880</xdr:colOff>
                    <xdr:row>49</xdr:row>
                    <xdr:rowOff>175260</xdr:rowOff>
                  </from>
                  <to>
                    <xdr:col>2</xdr:col>
                    <xdr:colOff>525780</xdr:colOff>
                    <xdr:row>51</xdr:row>
                    <xdr:rowOff>7620</xdr:rowOff>
                  </to>
                </anchor>
              </controlPr>
            </control>
          </mc:Choice>
        </mc:AlternateContent>
        <mc:AlternateContent xmlns:mc="http://schemas.openxmlformats.org/markup-compatibility/2006">
          <mc:Choice Requires="x14">
            <control shapeId="24596" r:id="rId22" name="Check Box 20">
              <controlPr defaultSize="0" autoFill="0" autoLine="0" autoPict="0">
                <anchor moveWithCells="1">
                  <from>
                    <xdr:col>2</xdr:col>
                    <xdr:colOff>182880</xdr:colOff>
                    <xdr:row>48</xdr:row>
                    <xdr:rowOff>175260</xdr:rowOff>
                  </from>
                  <to>
                    <xdr:col>2</xdr:col>
                    <xdr:colOff>525780</xdr:colOff>
                    <xdr:row>50</xdr:row>
                    <xdr:rowOff>7620</xdr:rowOff>
                  </to>
                </anchor>
              </controlPr>
            </control>
          </mc:Choice>
        </mc:AlternateContent>
        <mc:AlternateContent xmlns:mc="http://schemas.openxmlformats.org/markup-compatibility/2006">
          <mc:Choice Requires="x14">
            <control shapeId="24597" r:id="rId23" name="Check Box 21">
              <controlPr defaultSize="0" autoFill="0" autoLine="0" autoPict="0">
                <anchor moveWithCells="1">
                  <from>
                    <xdr:col>2</xdr:col>
                    <xdr:colOff>182880</xdr:colOff>
                    <xdr:row>92</xdr:row>
                    <xdr:rowOff>175260</xdr:rowOff>
                  </from>
                  <to>
                    <xdr:col>2</xdr:col>
                    <xdr:colOff>525780</xdr:colOff>
                    <xdr:row>94</xdr:row>
                    <xdr:rowOff>7620</xdr:rowOff>
                  </to>
                </anchor>
              </controlPr>
            </control>
          </mc:Choice>
        </mc:AlternateContent>
        <mc:AlternateContent xmlns:mc="http://schemas.openxmlformats.org/markup-compatibility/2006">
          <mc:Choice Requires="x14">
            <control shapeId="24598" r:id="rId24" name="Check Box 22">
              <controlPr defaultSize="0" autoFill="0" autoLine="0" autoPict="0">
                <anchor moveWithCells="1">
                  <from>
                    <xdr:col>2</xdr:col>
                    <xdr:colOff>182880</xdr:colOff>
                    <xdr:row>91</xdr:row>
                    <xdr:rowOff>175260</xdr:rowOff>
                  </from>
                  <to>
                    <xdr:col>2</xdr:col>
                    <xdr:colOff>525780</xdr:colOff>
                    <xdr:row>93</xdr:row>
                    <xdr:rowOff>7620</xdr:rowOff>
                  </to>
                </anchor>
              </controlPr>
            </control>
          </mc:Choice>
        </mc:AlternateContent>
        <mc:AlternateContent xmlns:mc="http://schemas.openxmlformats.org/markup-compatibility/2006">
          <mc:Choice Requires="x14">
            <control shapeId="24599" r:id="rId25" name="Check Box 23">
              <controlPr defaultSize="0" autoFill="0" autoLine="0" autoPict="0">
                <anchor moveWithCells="1">
                  <from>
                    <xdr:col>2</xdr:col>
                    <xdr:colOff>182880</xdr:colOff>
                    <xdr:row>97</xdr:row>
                    <xdr:rowOff>365760</xdr:rowOff>
                  </from>
                  <to>
                    <xdr:col>2</xdr:col>
                    <xdr:colOff>525780</xdr:colOff>
                    <xdr:row>99</xdr:row>
                    <xdr:rowOff>0</xdr:rowOff>
                  </to>
                </anchor>
              </controlPr>
            </control>
          </mc:Choice>
        </mc:AlternateContent>
        <mc:AlternateContent xmlns:mc="http://schemas.openxmlformats.org/markup-compatibility/2006">
          <mc:Choice Requires="x14">
            <control shapeId="24601" r:id="rId26" name="Check Box 25">
              <controlPr defaultSize="0" autoFill="0" autoLine="0" autoPict="0">
                <anchor moveWithCells="1">
                  <from>
                    <xdr:col>2</xdr:col>
                    <xdr:colOff>182880</xdr:colOff>
                    <xdr:row>95</xdr:row>
                    <xdr:rowOff>175260</xdr:rowOff>
                  </from>
                  <to>
                    <xdr:col>2</xdr:col>
                    <xdr:colOff>525780</xdr:colOff>
                    <xdr:row>97</xdr:row>
                    <xdr:rowOff>7620</xdr:rowOff>
                  </to>
                </anchor>
              </controlPr>
            </control>
          </mc:Choice>
        </mc:AlternateContent>
        <mc:AlternateContent xmlns:mc="http://schemas.openxmlformats.org/markup-compatibility/2006">
          <mc:Choice Requires="x14">
            <control shapeId="24602" r:id="rId27" name="Check Box 26">
              <controlPr defaultSize="0" autoFill="0" autoLine="0" autoPict="0">
                <anchor moveWithCells="1">
                  <from>
                    <xdr:col>2</xdr:col>
                    <xdr:colOff>182880</xdr:colOff>
                    <xdr:row>111</xdr:row>
                    <xdr:rowOff>45720</xdr:rowOff>
                  </from>
                  <to>
                    <xdr:col>2</xdr:col>
                    <xdr:colOff>525780</xdr:colOff>
                    <xdr:row>112</xdr:row>
                    <xdr:rowOff>0</xdr:rowOff>
                  </to>
                </anchor>
              </controlPr>
            </control>
          </mc:Choice>
        </mc:AlternateContent>
        <mc:AlternateContent xmlns:mc="http://schemas.openxmlformats.org/markup-compatibility/2006">
          <mc:Choice Requires="x14">
            <control shapeId="24603" r:id="rId28" name="Check Box 27">
              <controlPr defaultSize="0" autoFill="0" autoLine="0" autoPict="0">
                <anchor moveWithCells="1">
                  <from>
                    <xdr:col>2</xdr:col>
                    <xdr:colOff>182880</xdr:colOff>
                    <xdr:row>111</xdr:row>
                    <xdr:rowOff>312420</xdr:rowOff>
                  </from>
                  <to>
                    <xdr:col>2</xdr:col>
                    <xdr:colOff>525780</xdr:colOff>
                    <xdr:row>113</xdr:row>
                    <xdr:rowOff>7620</xdr:rowOff>
                  </to>
                </anchor>
              </controlPr>
            </control>
          </mc:Choice>
        </mc:AlternateContent>
        <mc:AlternateContent xmlns:mc="http://schemas.openxmlformats.org/markup-compatibility/2006">
          <mc:Choice Requires="x14">
            <control shapeId="24604" r:id="rId29" name="Check Box 28">
              <controlPr defaultSize="0" autoFill="0" autoLine="0" autoPict="0">
                <anchor moveWithCells="1">
                  <from>
                    <xdr:col>2</xdr:col>
                    <xdr:colOff>182880</xdr:colOff>
                    <xdr:row>115</xdr:row>
                    <xdr:rowOff>175260</xdr:rowOff>
                  </from>
                  <to>
                    <xdr:col>2</xdr:col>
                    <xdr:colOff>525780</xdr:colOff>
                    <xdr:row>117</xdr:row>
                    <xdr:rowOff>7620</xdr:rowOff>
                  </to>
                </anchor>
              </controlPr>
            </control>
          </mc:Choice>
        </mc:AlternateContent>
        <mc:AlternateContent xmlns:mc="http://schemas.openxmlformats.org/markup-compatibility/2006">
          <mc:Choice Requires="x14">
            <control shapeId="24605" r:id="rId30" name="Check Box 29">
              <controlPr defaultSize="0" autoFill="0" autoLine="0" autoPict="0">
                <anchor moveWithCells="1">
                  <from>
                    <xdr:col>2</xdr:col>
                    <xdr:colOff>182880</xdr:colOff>
                    <xdr:row>114</xdr:row>
                    <xdr:rowOff>175260</xdr:rowOff>
                  </from>
                  <to>
                    <xdr:col>2</xdr:col>
                    <xdr:colOff>525780</xdr:colOff>
                    <xdr:row>116</xdr:row>
                    <xdr:rowOff>7620</xdr:rowOff>
                  </to>
                </anchor>
              </controlPr>
            </control>
          </mc:Choice>
        </mc:AlternateContent>
        <mc:AlternateContent xmlns:mc="http://schemas.openxmlformats.org/markup-compatibility/2006">
          <mc:Choice Requires="x14">
            <control shapeId="24606" r:id="rId31" name="Check Box 30">
              <controlPr defaultSize="0" autoFill="0" autoLine="0" autoPict="0">
                <anchor moveWithCells="1">
                  <from>
                    <xdr:col>2</xdr:col>
                    <xdr:colOff>182880</xdr:colOff>
                    <xdr:row>120</xdr:row>
                    <xdr:rowOff>175260</xdr:rowOff>
                  </from>
                  <to>
                    <xdr:col>2</xdr:col>
                    <xdr:colOff>525780</xdr:colOff>
                    <xdr:row>122</xdr:row>
                    <xdr:rowOff>7620</xdr:rowOff>
                  </to>
                </anchor>
              </controlPr>
            </control>
          </mc:Choice>
        </mc:AlternateContent>
        <mc:AlternateContent xmlns:mc="http://schemas.openxmlformats.org/markup-compatibility/2006">
          <mc:Choice Requires="x14">
            <control shapeId="24607" r:id="rId32" name="Check Box 31">
              <controlPr defaultSize="0" autoFill="0" autoLine="0" autoPict="0">
                <anchor moveWithCells="1">
                  <from>
                    <xdr:col>2</xdr:col>
                    <xdr:colOff>182880</xdr:colOff>
                    <xdr:row>119</xdr:row>
                    <xdr:rowOff>175260</xdr:rowOff>
                  </from>
                  <to>
                    <xdr:col>2</xdr:col>
                    <xdr:colOff>525780</xdr:colOff>
                    <xdr:row>121</xdr:row>
                    <xdr:rowOff>7620</xdr:rowOff>
                  </to>
                </anchor>
              </controlPr>
            </control>
          </mc:Choice>
        </mc:AlternateContent>
        <mc:AlternateContent xmlns:mc="http://schemas.openxmlformats.org/markup-compatibility/2006">
          <mc:Choice Requires="x14">
            <control shapeId="24608" r:id="rId33" name="Check Box 32">
              <controlPr defaultSize="0" autoFill="0" autoLine="0" autoPict="0">
                <anchor moveWithCells="1">
                  <from>
                    <xdr:col>2</xdr:col>
                    <xdr:colOff>182880</xdr:colOff>
                    <xdr:row>127</xdr:row>
                    <xdr:rowOff>45720</xdr:rowOff>
                  </from>
                  <to>
                    <xdr:col>2</xdr:col>
                    <xdr:colOff>525780</xdr:colOff>
                    <xdr:row>128</xdr:row>
                    <xdr:rowOff>0</xdr:rowOff>
                  </to>
                </anchor>
              </controlPr>
            </control>
          </mc:Choice>
        </mc:AlternateContent>
        <mc:AlternateContent xmlns:mc="http://schemas.openxmlformats.org/markup-compatibility/2006">
          <mc:Choice Requires="x14">
            <control shapeId="24609" r:id="rId34" name="Check Box 33">
              <controlPr defaultSize="0" autoFill="0" autoLine="0" autoPict="0">
                <anchor moveWithCells="1">
                  <from>
                    <xdr:col>2</xdr:col>
                    <xdr:colOff>175260</xdr:colOff>
                    <xdr:row>126</xdr:row>
                    <xdr:rowOff>60960</xdr:rowOff>
                  </from>
                  <to>
                    <xdr:col>2</xdr:col>
                    <xdr:colOff>518160</xdr:colOff>
                    <xdr:row>127</xdr:row>
                    <xdr:rowOff>0</xdr:rowOff>
                  </to>
                </anchor>
              </controlPr>
            </control>
          </mc:Choice>
        </mc:AlternateContent>
        <mc:AlternateContent xmlns:mc="http://schemas.openxmlformats.org/markup-compatibility/2006">
          <mc:Choice Requires="x14">
            <control shapeId="24610" r:id="rId35" name="Check Box 34">
              <controlPr defaultSize="0" autoFill="0" autoLine="0" autoPict="0">
                <anchor moveWithCells="1">
                  <from>
                    <xdr:col>2</xdr:col>
                    <xdr:colOff>182880</xdr:colOff>
                    <xdr:row>125</xdr:row>
                    <xdr:rowOff>38100</xdr:rowOff>
                  </from>
                  <to>
                    <xdr:col>2</xdr:col>
                    <xdr:colOff>525780</xdr:colOff>
                    <xdr:row>126</xdr:row>
                    <xdr:rowOff>0</xdr:rowOff>
                  </to>
                </anchor>
              </controlPr>
            </control>
          </mc:Choice>
        </mc:AlternateContent>
        <mc:AlternateContent xmlns:mc="http://schemas.openxmlformats.org/markup-compatibility/2006">
          <mc:Choice Requires="x14">
            <control shapeId="24612" r:id="rId36" name="Check Box 36">
              <controlPr defaultSize="0" autoFill="0" autoLine="0" autoPict="0">
                <anchor moveWithCells="1">
                  <from>
                    <xdr:col>2</xdr:col>
                    <xdr:colOff>175260</xdr:colOff>
                    <xdr:row>131</xdr:row>
                    <xdr:rowOff>160020</xdr:rowOff>
                  </from>
                  <to>
                    <xdr:col>2</xdr:col>
                    <xdr:colOff>518160</xdr:colOff>
                    <xdr:row>133</xdr:row>
                    <xdr:rowOff>0</xdr:rowOff>
                  </to>
                </anchor>
              </controlPr>
            </control>
          </mc:Choice>
        </mc:AlternateContent>
        <mc:AlternateContent xmlns:mc="http://schemas.openxmlformats.org/markup-compatibility/2006">
          <mc:Choice Requires="x14">
            <control shapeId="24613" r:id="rId37" name="Check Box 37">
              <controlPr defaultSize="0" autoFill="0" autoLine="0" autoPict="0">
                <anchor moveWithCells="1">
                  <from>
                    <xdr:col>2</xdr:col>
                    <xdr:colOff>175260</xdr:colOff>
                    <xdr:row>132</xdr:row>
                    <xdr:rowOff>182880</xdr:rowOff>
                  </from>
                  <to>
                    <xdr:col>2</xdr:col>
                    <xdr:colOff>518160</xdr:colOff>
                    <xdr:row>134</xdr:row>
                    <xdr:rowOff>22860</xdr:rowOff>
                  </to>
                </anchor>
              </controlPr>
            </control>
          </mc:Choice>
        </mc:AlternateContent>
        <mc:AlternateContent xmlns:mc="http://schemas.openxmlformats.org/markup-compatibility/2006">
          <mc:Choice Requires="x14">
            <control shapeId="24614" r:id="rId38" name="Check Box 38">
              <controlPr defaultSize="0" autoFill="0" autoLine="0" autoPict="0">
                <anchor moveWithCells="1">
                  <from>
                    <xdr:col>2</xdr:col>
                    <xdr:colOff>213360</xdr:colOff>
                    <xdr:row>77</xdr:row>
                    <xdr:rowOff>38100</xdr:rowOff>
                  </from>
                  <to>
                    <xdr:col>2</xdr:col>
                    <xdr:colOff>556260</xdr:colOff>
                    <xdr:row>78</xdr:row>
                    <xdr:rowOff>0</xdr:rowOff>
                  </to>
                </anchor>
              </controlPr>
            </control>
          </mc:Choice>
        </mc:AlternateContent>
        <mc:AlternateContent xmlns:mc="http://schemas.openxmlformats.org/markup-compatibility/2006">
          <mc:Choice Requires="x14">
            <control shapeId="24615" r:id="rId39" name="Check Box 39">
              <controlPr defaultSize="0" autoFill="0" autoLine="0" autoPict="0">
                <anchor moveWithCells="1">
                  <from>
                    <xdr:col>2</xdr:col>
                    <xdr:colOff>182880</xdr:colOff>
                    <xdr:row>97</xdr:row>
                    <xdr:rowOff>68580</xdr:rowOff>
                  </from>
                  <to>
                    <xdr:col>2</xdr:col>
                    <xdr:colOff>525780</xdr:colOff>
                    <xdr:row>98</xdr:row>
                    <xdr:rowOff>0</xdr:rowOff>
                  </to>
                </anchor>
              </controlPr>
            </control>
          </mc:Choice>
        </mc:AlternateContent>
        <mc:AlternateContent xmlns:mc="http://schemas.openxmlformats.org/markup-compatibility/2006">
          <mc:Choice Requires="x14">
            <control shapeId="24618" r:id="rId40" name="Check Box 42">
              <controlPr defaultSize="0" autoFill="0" autoLine="0" autoPict="0">
                <anchor moveWithCells="1">
                  <from>
                    <xdr:col>2</xdr:col>
                    <xdr:colOff>182880</xdr:colOff>
                    <xdr:row>18</xdr:row>
                    <xdr:rowOff>160020</xdr:rowOff>
                  </from>
                  <to>
                    <xdr:col>2</xdr:col>
                    <xdr:colOff>525780</xdr:colOff>
                    <xdr:row>20</xdr:row>
                    <xdr:rowOff>0</xdr:rowOff>
                  </to>
                </anchor>
              </controlPr>
            </control>
          </mc:Choice>
        </mc:AlternateContent>
        <mc:AlternateContent xmlns:mc="http://schemas.openxmlformats.org/markup-compatibility/2006">
          <mc:Choice Requires="x14">
            <control shapeId="24623" r:id="rId41" name="Check Box 47">
              <controlPr defaultSize="0" autoFill="0" autoLine="0" autoPict="0">
                <anchor moveWithCells="1">
                  <from>
                    <xdr:col>2</xdr:col>
                    <xdr:colOff>2065020</xdr:colOff>
                    <xdr:row>19</xdr:row>
                    <xdr:rowOff>160020</xdr:rowOff>
                  </from>
                  <to>
                    <xdr:col>2</xdr:col>
                    <xdr:colOff>2407920</xdr:colOff>
                    <xdr:row>21</xdr:row>
                    <xdr:rowOff>0</xdr:rowOff>
                  </to>
                </anchor>
              </controlPr>
            </control>
          </mc:Choice>
        </mc:AlternateContent>
        <mc:AlternateContent xmlns:mc="http://schemas.openxmlformats.org/markup-compatibility/2006">
          <mc:Choice Requires="x14">
            <control shapeId="24624" r:id="rId42" name="Check Box 48">
              <controlPr defaultSize="0" autoFill="0" autoLine="0" autoPict="0">
                <anchor moveWithCells="1">
                  <from>
                    <xdr:col>2</xdr:col>
                    <xdr:colOff>868680</xdr:colOff>
                    <xdr:row>19</xdr:row>
                    <xdr:rowOff>175260</xdr:rowOff>
                  </from>
                  <to>
                    <xdr:col>2</xdr:col>
                    <xdr:colOff>1211580</xdr:colOff>
                    <xdr:row>21</xdr:row>
                    <xdr:rowOff>7620</xdr:rowOff>
                  </to>
                </anchor>
              </controlPr>
            </control>
          </mc:Choice>
        </mc:AlternateContent>
        <mc:AlternateContent xmlns:mc="http://schemas.openxmlformats.org/markup-compatibility/2006">
          <mc:Choice Requires="x14">
            <control shapeId="24625" r:id="rId43" name="Check Box 49">
              <controlPr defaultSize="0" autoFill="0" autoLine="0" autoPict="0">
                <anchor moveWithCells="1">
                  <from>
                    <xdr:col>2</xdr:col>
                    <xdr:colOff>2065020</xdr:colOff>
                    <xdr:row>18</xdr:row>
                    <xdr:rowOff>160020</xdr:rowOff>
                  </from>
                  <to>
                    <xdr:col>2</xdr:col>
                    <xdr:colOff>2407920</xdr:colOff>
                    <xdr:row>20</xdr:row>
                    <xdr:rowOff>0</xdr:rowOff>
                  </to>
                </anchor>
              </controlPr>
            </control>
          </mc:Choice>
        </mc:AlternateContent>
        <mc:AlternateContent xmlns:mc="http://schemas.openxmlformats.org/markup-compatibility/2006">
          <mc:Choice Requires="x14">
            <control shapeId="24626" r:id="rId44" name="Check Box 50">
              <controlPr defaultSize="0" autoFill="0" autoLine="0" autoPict="0">
                <anchor moveWithCells="1">
                  <from>
                    <xdr:col>2</xdr:col>
                    <xdr:colOff>868680</xdr:colOff>
                    <xdr:row>18</xdr:row>
                    <xdr:rowOff>182880</xdr:rowOff>
                  </from>
                  <to>
                    <xdr:col>2</xdr:col>
                    <xdr:colOff>1211580</xdr:colOff>
                    <xdr:row>20</xdr:row>
                    <xdr:rowOff>22860</xdr:rowOff>
                  </to>
                </anchor>
              </controlPr>
            </control>
          </mc:Choice>
        </mc:AlternateContent>
        <mc:AlternateContent xmlns:mc="http://schemas.openxmlformats.org/markup-compatibility/2006">
          <mc:Choice Requires="x14">
            <control shapeId="24627" r:id="rId45" name="Check Box 51">
              <controlPr defaultSize="0" autoFill="0" autoLine="0" autoPict="0">
                <anchor moveWithCells="1">
                  <from>
                    <xdr:col>2</xdr:col>
                    <xdr:colOff>2080260</xdr:colOff>
                    <xdr:row>23</xdr:row>
                    <xdr:rowOff>175260</xdr:rowOff>
                  </from>
                  <to>
                    <xdr:col>2</xdr:col>
                    <xdr:colOff>2423160</xdr:colOff>
                    <xdr:row>25</xdr:row>
                    <xdr:rowOff>7620</xdr:rowOff>
                  </to>
                </anchor>
              </controlPr>
            </control>
          </mc:Choice>
        </mc:AlternateContent>
        <mc:AlternateContent xmlns:mc="http://schemas.openxmlformats.org/markup-compatibility/2006">
          <mc:Choice Requires="x14">
            <control shapeId="24628" r:id="rId46" name="Check Box 52">
              <controlPr defaultSize="0" autoFill="0" autoLine="0" autoPict="0">
                <anchor moveWithCells="1">
                  <from>
                    <xdr:col>2</xdr:col>
                    <xdr:colOff>868680</xdr:colOff>
                    <xdr:row>20</xdr:row>
                    <xdr:rowOff>175260</xdr:rowOff>
                  </from>
                  <to>
                    <xdr:col>2</xdr:col>
                    <xdr:colOff>1211580</xdr:colOff>
                    <xdr:row>22</xdr:row>
                    <xdr:rowOff>7620</xdr:rowOff>
                  </to>
                </anchor>
              </controlPr>
            </control>
          </mc:Choice>
        </mc:AlternateContent>
        <mc:AlternateContent xmlns:mc="http://schemas.openxmlformats.org/markup-compatibility/2006">
          <mc:Choice Requires="x14">
            <control shapeId="24630" r:id="rId47" name="Check Box 54">
              <controlPr defaultSize="0" autoFill="0" autoLine="0" autoPict="0">
                <anchor moveWithCells="1">
                  <from>
                    <xdr:col>2</xdr:col>
                    <xdr:colOff>2065020</xdr:colOff>
                    <xdr:row>21</xdr:row>
                    <xdr:rowOff>160020</xdr:rowOff>
                  </from>
                  <to>
                    <xdr:col>2</xdr:col>
                    <xdr:colOff>2407920</xdr:colOff>
                    <xdr:row>23</xdr:row>
                    <xdr:rowOff>0</xdr:rowOff>
                  </to>
                </anchor>
              </controlPr>
            </control>
          </mc:Choice>
        </mc:AlternateContent>
        <mc:AlternateContent xmlns:mc="http://schemas.openxmlformats.org/markup-compatibility/2006">
          <mc:Choice Requires="x14">
            <control shapeId="24631" r:id="rId48" name="Check Box 55">
              <controlPr defaultSize="0" autoFill="0" autoLine="0" autoPict="0">
                <anchor moveWithCells="1">
                  <from>
                    <xdr:col>2</xdr:col>
                    <xdr:colOff>861060</xdr:colOff>
                    <xdr:row>23</xdr:row>
                    <xdr:rowOff>182880</xdr:rowOff>
                  </from>
                  <to>
                    <xdr:col>2</xdr:col>
                    <xdr:colOff>1203960</xdr:colOff>
                    <xdr:row>25</xdr:row>
                    <xdr:rowOff>22860</xdr:rowOff>
                  </to>
                </anchor>
              </controlPr>
            </control>
          </mc:Choice>
        </mc:AlternateContent>
        <mc:AlternateContent xmlns:mc="http://schemas.openxmlformats.org/markup-compatibility/2006">
          <mc:Choice Requires="x14">
            <control shapeId="24632" r:id="rId49" name="Check Box 56">
              <controlPr defaultSize="0" autoFill="0" autoLine="0" autoPict="0">
                <anchor moveWithCells="1">
                  <from>
                    <xdr:col>2</xdr:col>
                    <xdr:colOff>868680</xdr:colOff>
                    <xdr:row>21</xdr:row>
                    <xdr:rowOff>182880</xdr:rowOff>
                  </from>
                  <to>
                    <xdr:col>2</xdr:col>
                    <xdr:colOff>1211580</xdr:colOff>
                    <xdr:row>23</xdr:row>
                    <xdr:rowOff>22860</xdr:rowOff>
                  </to>
                </anchor>
              </controlPr>
            </control>
          </mc:Choice>
        </mc:AlternateContent>
        <mc:AlternateContent xmlns:mc="http://schemas.openxmlformats.org/markup-compatibility/2006">
          <mc:Choice Requires="x14">
            <control shapeId="24633" r:id="rId50" name="Check Box 57">
              <controlPr defaultSize="0" autoFill="0" autoLine="0" autoPict="0">
                <anchor moveWithCells="1">
                  <from>
                    <xdr:col>2</xdr:col>
                    <xdr:colOff>861060</xdr:colOff>
                    <xdr:row>22</xdr:row>
                    <xdr:rowOff>175260</xdr:rowOff>
                  </from>
                  <to>
                    <xdr:col>2</xdr:col>
                    <xdr:colOff>1203960</xdr:colOff>
                    <xdr:row>24</xdr:row>
                    <xdr:rowOff>7620</xdr:rowOff>
                  </to>
                </anchor>
              </controlPr>
            </control>
          </mc:Choice>
        </mc:AlternateContent>
        <mc:AlternateContent xmlns:mc="http://schemas.openxmlformats.org/markup-compatibility/2006">
          <mc:Choice Requires="x14">
            <control shapeId="24634" r:id="rId51" name="Check Box 58">
              <controlPr defaultSize="0" autoFill="0" autoLine="0" autoPict="0">
                <anchor moveWithCells="1">
                  <from>
                    <xdr:col>2</xdr:col>
                    <xdr:colOff>2065020</xdr:colOff>
                    <xdr:row>22</xdr:row>
                    <xdr:rowOff>175260</xdr:rowOff>
                  </from>
                  <to>
                    <xdr:col>2</xdr:col>
                    <xdr:colOff>2407920</xdr:colOff>
                    <xdr:row>24</xdr:row>
                    <xdr:rowOff>7620</xdr:rowOff>
                  </to>
                </anchor>
              </controlPr>
            </control>
          </mc:Choice>
        </mc:AlternateContent>
        <mc:AlternateContent xmlns:mc="http://schemas.openxmlformats.org/markup-compatibility/2006">
          <mc:Choice Requires="x14">
            <control shapeId="24638" r:id="rId52" name="Check Box 62">
              <controlPr defaultSize="0" autoFill="0" autoLine="0" autoPict="0">
                <anchor moveWithCells="1">
                  <from>
                    <xdr:col>2</xdr:col>
                    <xdr:colOff>182880</xdr:colOff>
                    <xdr:row>98</xdr:row>
                    <xdr:rowOff>365760</xdr:rowOff>
                  </from>
                  <to>
                    <xdr:col>2</xdr:col>
                    <xdr:colOff>525780</xdr:colOff>
                    <xdr:row>100</xdr:row>
                    <xdr:rowOff>22860</xdr:rowOff>
                  </to>
                </anchor>
              </controlPr>
            </control>
          </mc:Choice>
        </mc:AlternateContent>
        <mc:AlternateContent xmlns:mc="http://schemas.openxmlformats.org/markup-compatibility/2006">
          <mc:Choice Requires="x14">
            <control shapeId="24639" r:id="rId53" name="Check Box 63">
              <controlPr defaultSize="0" autoFill="0" autoLine="0" autoPict="0">
                <anchor moveWithCells="1">
                  <from>
                    <xdr:col>2</xdr:col>
                    <xdr:colOff>182880</xdr:colOff>
                    <xdr:row>99</xdr:row>
                    <xdr:rowOff>365760</xdr:rowOff>
                  </from>
                  <to>
                    <xdr:col>2</xdr:col>
                    <xdr:colOff>525780</xdr:colOff>
                    <xdr:row>101</xdr:row>
                    <xdr:rowOff>22860</xdr:rowOff>
                  </to>
                </anchor>
              </controlPr>
            </control>
          </mc:Choice>
        </mc:AlternateContent>
        <mc:AlternateContent xmlns:mc="http://schemas.openxmlformats.org/markup-compatibility/2006">
          <mc:Choice Requires="x14">
            <control shapeId="24642" r:id="rId54" name="Check Box 66">
              <controlPr defaultSize="0" autoFill="0" autoLine="0" autoPict="0">
                <anchor moveWithCells="1">
                  <from>
                    <xdr:col>2</xdr:col>
                    <xdr:colOff>182880</xdr:colOff>
                    <xdr:row>29</xdr:row>
                    <xdr:rowOff>175260</xdr:rowOff>
                  </from>
                  <to>
                    <xdr:col>2</xdr:col>
                    <xdr:colOff>525780</xdr:colOff>
                    <xdr:row>31</xdr:row>
                    <xdr:rowOff>0</xdr:rowOff>
                  </to>
                </anchor>
              </controlPr>
            </control>
          </mc:Choice>
        </mc:AlternateContent>
        <mc:AlternateContent xmlns:mc="http://schemas.openxmlformats.org/markup-compatibility/2006">
          <mc:Choice Requires="x14">
            <control shapeId="24646" r:id="rId55" name="Check Box 70">
              <controlPr defaultSize="0" autoFill="0" autoLine="0" autoPict="0">
                <anchor moveWithCells="1">
                  <from>
                    <xdr:col>2</xdr:col>
                    <xdr:colOff>182880</xdr:colOff>
                    <xdr:row>30</xdr:row>
                    <xdr:rowOff>175260</xdr:rowOff>
                  </from>
                  <to>
                    <xdr:col>2</xdr:col>
                    <xdr:colOff>525780</xdr:colOff>
                    <xdr:row>32</xdr:row>
                    <xdr:rowOff>7620</xdr:rowOff>
                  </to>
                </anchor>
              </controlPr>
            </control>
          </mc:Choice>
        </mc:AlternateContent>
        <mc:AlternateContent xmlns:mc="http://schemas.openxmlformats.org/markup-compatibility/2006">
          <mc:Choice Requires="x14">
            <control shapeId="24651" r:id="rId56" name="Check Box 75">
              <controlPr defaultSize="0" autoFill="0" autoLine="0" autoPict="0">
                <anchor moveWithCells="1">
                  <from>
                    <xdr:col>2</xdr:col>
                    <xdr:colOff>182880</xdr:colOff>
                    <xdr:row>34</xdr:row>
                    <xdr:rowOff>0</xdr:rowOff>
                  </from>
                  <to>
                    <xdr:col>2</xdr:col>
                    <xdr:colOff>525780</xdr:colOff>
                    <xdr:row>35</xdr:row>
                    <xdr:rowOff>30480</xdr:rowOff>
                  </to>
                </anchor>
              </controlPr>
            </control>
          </mc:Choice>
        </mc:AlternateContent>
        <mc:AlternateContent xmlns:mc="http://schemas.openxmlformats.org/markup-compatibility/2006">
          <mc:Choice Requires="x14">
            <control shapeId="24655" r:id="rId57" name="Check Box 79">
              <controlPr defaultSize="0" autoFill="0" autoLine="0" autoPict="0">
                <anchor moveWithCells="1">
                  <from>
                    <xdr:col>2</xdr:col>
                    <xdr:colOff>182880</xdr:colOff>
                    <xdr:row>35</xdr:row>
                    <xdr:rowOff>0</xdr:rowOff>
                  </from>
                  <to>
                    <xdr:col>2</xdr:col>
                    <xdr:colOff>525780</xdr:colOff>
                    <xdr:row>36</xdr:row>
                    <xdr:rowOff>30480</xdr:rowOff>
                  </to>
                </anchor>
              </controlPr>
            </control>
          </mc:Choice>
        </mc:AlternateContent>
        <mc:AlternateContent xmlns:mc="http://schemas.openxmlformats.org/markup-compatibility/2006">
          <mc:Choice Requires="x14">
            <control shapeId="24658" r:id="rId58" name="Check Box 82">
              <controlPr defaultSize="0" autoFill="0" autoLine="0" autoPict="0">
                <anchor moveWithCells="1">
                  <from>
                    <xdr:col>2</xdr:col>
                    <xdr:colOff>175260</xdr:colOff>
                    <xdr:row>136</xdr:row>
                    <xdr:rowOff>160020</xdr:rowOff>
                  </from>
                  <to>
                    <xdr:col>2</xdr:col>
                    <xdr:colOff>518160</xdr:colOff>
                    <xdr:row>138</xdr:row>
                    <xdr:rowOff>0</xdr:rowOff>
                  </to>
                </anchor>
              </controlPr>
            </control>
          </mc:Choice>
        </mc:AlternateContent>
        <mc:AlternateContent xmlns:mc="http://schemas.openxmlformats.org/markup-compatibility/2006">
          <mc:Choice Requires="x14">
            <control shapeId="24659" r:id="rId59" name="Check Box 83">
              <controlPr defaultSize="0" autoFill="0" autoLine="0" autoPict="0">
                <anchor moveWithCells="1">
                  <from>
                    <xdr:col>2</xdr:col>
                    <xdr:colOff>175260</xdr:colOff>
                    <xdr:row>137</xdr:row>
                    <xdr:rowOff>182880</xdr:rowOff>
                  </from>
                  <to>
                    <xdr:col>2</xdr:col>
                    <xdr:colOff>518160</xdr:colOff>
                    <xdr:row>139</xdr:row>
                    <xdr:rowOff>22860</xdr:rowOff>
                  </to>
                </anchor>
              </controlPr>
            </control>
          </mc:Choice>
        </mc:AlternateContent>
        <mc:AlternateContent xmlns:mc="http://schemas.openxmlformats.org/markup-compatibility/2006">
          <mc:Choice Requires="x14">
            <control shapeId="24664" r:id="rId60" name="Check Box 88">
              <controlPr defaultSize="0" autoFill="0" autoLine="0" autoPict="0">
                <anchor moveWithCells="1">
                  <from>
                    <xdr:col>2</xdr:col>
                    <xdr:colOff>182880</xdr:colOff>
                    <xdr:row>70</xdr:row>
                    <xdr:rowOff>175260</xdr:rowOff>
                  </from>
                  <to>
                    <xdr:col>2</xdr:col>
                    <xdr:colOff>525780</xdr:colOff>
                    <xdr:row>70</xdr:row>
                    <xdr:rowOff>388620</xdr:rowOff>
                  </to>
                </anchor>
              </controlPr>
            </control>
          </mc:Choice>
        </mc:AlternateContent>
        <mc:AlternateContent xmlns:mc="http://schemas.openxmlformats.org/markup-compatibility/2006">
          <mc:Choice Requires="x14">
            <control shapeId="24666" r:id="rId61" name="Check Box 90">
              <controlPr defaultSize="0" autoFill="0" autoLine="0" autoPict="0">
                <anchor moveWithCells="1">
                  <from>
                    <xdr:col>2</xdr:col>
                    <xdr:colOff>182880</xdr:colOff>
                    <xdr:row>71</xdr:row>
                    <xdr:rowOff>175260</xdr:rowOff>
                  </from>
                  <to>
                    <xdr:col>2</xdr:col>
                    <xdr:colOff>525780</xdr:colOff>
                    <xdr:row>71</xdr:row>
                    <xdr:rowOff>388620</xdr:rowOff>
                  </to>
                </anchor>
              </controlPr>
            </control>
          </mc:Choice>
        </mc:AlternateContent>
        <mc:AlternateContent xmlns:mc="http://schemas.openxmlformats.org/markup-compatibility/2006">
          <mc:Choice Requires="x14">
            <control shapeId="24669" r:id="rId62" name="Check Box 93">
              <controlPr defaultSize="0" autoFill="0" autoLine="0" autoPict="0">
                <anchor moveWithCells="1">
                  <from>
                    <xdr:col>2</xdr:col>
                    <xdr:colOff>182880</xdr:colOff>
                    <xdr:row>79</xdr:row>
                    <xdr:rowOff>175260</xdr:rowOff>
                  </from>
                  <to>
                    <xdr:col>2</xdr:col>
                    <xdr:colOff>525780</xdr:colOff>
                    <xdr:row>79</xdr:row>
                    <xdr:rowOff>388620</xdr:rowOff>
                  </to>
                </anchor>
              </controlPr>
            </control>
          </mc:Choice>
        </mc:AlternateContent>
        <mc:AlternateContent xmlns:mc="http://schemas.openxmlformats.org/markup-compatibility/2006">
          <mc:Choice Requires="x14">
            <control shapeId="24670" r:id="rId63" name="Check Box 94">
              <controlPr defaultSize="0" autoFill="0" autoLine="0" autoPict="0">
                <anchor moveWithCells="1">
                  <from>
                    <xdr:col>2</xdr:col>
                    <xdr:colOff>182880</xdr:colOff>
                    <xdr:row>80</xdr:row>
                    <xdr:rowOff>175260</xdr:rowOff>
                  </from>
                  <to>
                    <xdr:col>2</xdr:col>
                    <xdr:colOff>525780</xdr:colOff>
                    <xdr:row>80</xdr:row>
                    <xdr:rowOff>388620</xdr:rowOff>
                  </to>
                </anchor>
              </controlPr>
            </control>
          </mc:Choice>
        </mc:AlternateContent>
        <mc:AlternateContent xmlns:mc="http://schemas.openxmlformats.org/markup-compatibility/2006">
          <mc:Choice Requires="x14">
            <control shapeId="24674" r:id="rId64" name="Check Box 98">
              <controlPr defaultSize="0" autoFill="0" autoLine="0" autoPict="0">
                <anchor moveWithCells="1">
                  <from>
                    <xdr:col>2</xdr:col>
                    <xdr:colOff>182880</xdr:colOff>
                    <xdr:row>63</xdr:row>
                    <xdr:rowOff>175260</xdr:rowOff>
                  </from>
                  <to>
                    <xdr:col>2</xdr:col>
                    <xdr:colOff>525780</xdr:colOff>
                    <xdr:row>65</xdr:row>
                    <xdr:rowOff>7620</xdr:rowOff>
                  </to>
                </anchor>
              </controlPr>
            </control>
          </mc:Choice>
        </mc:AlternateContent>
        <mc:AlternateContent xmlns:mc="http://schemas.openxmlformats.org/markup-compatibility/2006">
          <mc:Choice Requires="x14">
            <control shapeId="24675" r:id="rId65" name="Check Box 99">
              <controlPr defaultSize="0" autoFill="0" autoLine="0" autoPict="0">
                <anchor moveWithCells="1">
                  <from>
                    <xdr:col>2</xdr:col>
                    <xdr:colOff>182880</xdr:colOff>
                    <xdr:row>62</xdr:row>
                    <xdr:rowOff>175260</xdr:rowOff>
                  </from>
                  <to>
                    <xdr:col>2</xdr:col>
                    <xdr:colOff>525780</xdr:colOff>
                    <xdr:row>64</xdr:row>
                    <xdr:rowOff>7620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7F638-656C-4D53-A821-C424119607FF}">
  <dimension ref="B2:X43"/>
  <sheetViews>
    <sheetView zoomScale="90" zoomScaleNormal="90" zoomScalePageLayoutView="90" workbookViewId="0">
      <selection activeCell="F10" sqref="F10"/>
    </sheetView>
  </sheetViews>
  <sheetFormatPr defaultRowHeight="14.4" x14ac:dyDescent="0.3"/>
  <cols>
    <col min="1" max="1" width="2.44140625" customWidth="1"/>
    <col min="2" max="2" width="8.88671875" style="6" customWidth="1"/>
    <col min="3" max="3" width="25.44140625" customWidth="1"/>
    <col min="4" max="6" width="23.5546875" customWidth="1"/>
    <col min="7" max="9" width="32.6640625" style="2" customWidth="1"/>
    <col min="10" max="10" width="17.5546875" style="2" customWidth="1"/>
    <col min="11" max="11" width="16.33203125" style="2" bestFit="1" customWidth="1"/>
    <col min="12" max="12" width="16.33203125" style="2" customWidth="1"/>
    <col min="13" max="13" width="17.88671875" style="2" bestFit="1" customWidth="1"/>
    <col min="14" max="14" width="32.6640625" style="2" customWidth="1"/>
    <col min="15" max="15" width="23.5546875" style="2" customWidth="1"/>
    <col min="16" max="16" width="14.5546875" customWidth="1"/>
    <col min="24" max="24" width="9.109375" hidden="1" customWidth="1"/>
    <col min="34" max="34" width="21.88671875" customWidth="1"/>
  </cols>
  <sheetData>
    <row r="2" spans="2:24" ht="15" thickBot="1" x14ac:dyDescent="0.35">
      <c r="C2" s="1"/>
      <c r="D2" s="8"/>
      <c r="E2" s="8"/>
      <c r="F2" s="8"/>
      <c r="G2" s="8"/>
      <c r="H2" s="8"/>
      <c r="I2" s="8"/>
      <c r="J2" s="8"/>
      <c r="K2" s="8"/>
      <c r="L2" s="8"/>
    </row>
    <row r="3" spans="2:24" ht="15.75" customHeight="1" thickBot="1" x14ac:dyDescent="0.35">
      <c r="B3" s="216" t="s">
        <v>98</v>
      </c>
      <c r="C3" s="217"/>
      <c r="D3" s="217"/>
      <c r="E3" s="217"/>
      <c r="F3" s="217"/>
      <c r="G3" s="217"/>
      <c r="H3" s="212" t="s">
        <v>97</v>
      </c>
      <c r="I3" s="213"/>
      <c r="J3" s="213"/>
      <c r="K3" s="213"/>
      <c r="L3" s="213"/>
      <c r="M3" s="213"/>
      <c r="N3" s="214" t="s">
        <v>80</v>
      </c>
      <c r="O3" s="215"/>
    </row>
    <row r="4" spans="2:24" ht="29.4" thickBot="1" x14ac:dyDescent="0.35">
      <c r="B4" s="9" t="s">
        <v>23</v>
      </c>
      <c r="C4" s="43" t="s">
        <v>75</v>
      </c>
      <c r="D4" s="44" t="s">
        <v>73</v>
      </c>
      <c r="E4" s="44" t="s">
        <v>74</v>
      </c>
      <c r="F4" s="44" t="s">
        <v>77</v>
      </c>
      <c r="G4" s="45" t="s">
        <v>79</v>
      </c>
      <c r="H4" s="75" t="s">
        <v>133</v>
      </c>
      <c r="I4" s="74" t="s">
        <v>136</v>
      </c>
      <c r="J4" s="74" t="s">
        <v>18</v>
      </c>
      <c r="K4" s="74" t="s">
        <v>134</v>
      </c>
      <c r="L4" s="76" t="s">
        <v>135</v>
      </c>
      <c r="M4" s="76" t="s">
        <v>137</v>
      </c>
      <c r="N4" s="58" t="s">
        <v>78</v>
      </c>
      <c r="O4" s="59" t="s">
        <v>91</v>
      </c>
      <c r="X4" t="s">
        <v>13</v>
      </c>
    </row>
    <row r="5" spans="2:24" ht="42.75" customHeight="1" x14ac:dyDescent="0.3">
      <c r="B5" s="11"/>
      <c r="C5" s="12"/>
      <c r="D5" s="12"/>
      <c r="E5" s="12"/>
      <c r="F5" s="12"/>
      <c r="G5" s="42"/>
      <c r="H5" s="77"/>
      <c r="I5" s="38"/>
      <c r="J5" s="38"/>
      <c r="K5" s="72"/>
      <c r="L5" s="38"/>
      <c r="M5" s="78"/>
      <c r="N5" s="60"/>
      <c r="O5" s="61"/>
      <c r="X5" t="s">
        <v>0</v>
      </c>
    </row>
    <row r="6" spans="2:24" ht="42.75" customHeight="1" x14ac:dyDescent="0.3">
      <c r="B6" s="79"/>
      <c r="C6" s="80"/>
      <c r="D6" s="80"/>
      <c r="E6" s="80"/>
      <c r="F6" s="80"/>
      <c r="G6" s="81"/>
      <c r="H6" s="77"/>
      <c r="I6" s="38"/>
      <c r="J6" s="38"/>
      <c r="K6" s="72"/>
      <c r="L6" s="38"/>
      <c r="M6" s="78"/>
      <c r="N6" s="60"/>
      <c r="O6" s="61"/>
    </row>
    <row r="7" spans="2:24" ht="42.75" customHeight="1" x14ac:dyDescent="0.3">
      <c r="B7" s="79"/>
      <c r="C7" s="80"/>
      <c r="D7" s="80"/>
      <c r="E7" s="80"/>
      <c r="F7" s="80"/>
      <c r="G7" s="81"/>
      <c r="H7" s="77"/>
      <c r="I7" s="38"/>
      <c r="J7" s="38"/>
      <c r="K7" s="72"/>
      <c r="L7" s="38"/>
      <c r="M7" s="78"/>
      <c r="N7" s="60"/>
      <c r="O7" s="61"/>
    </row>
    <row r="8" spans="2:24" ht="42.75" customHeight="1" x14ac:dyDescent="0.3">
      <c r="B8" s="79"/>
      <c r="C8" s="80"/>
      <c r="D8" s="80"/>
      <c r="E8" s="80"/>
      <c r="F8" s="80"/>
      <c r="G8" s="81"/>
      <c r="H8" s="77"/>
      <c r="I8" s="38"/>
      <c r="J8" s="38"/>
      <c r="K8" s="72"/>
      <c r="L8" s="38"/>
      <c r="M8" s="78"/>
      <c r="N8" s="60"/>
      <c r="O8" s="61"/>
    </row>
    <row r="9" spans="2:24" ht="42.75" customHeight="1" x14ac:dyDescent="0.3">
      <c r="B9" s="79"/>
      <c r="C9" s="80"/>
      <c r="D9" s="80"/>
      <c r="E9" s="80"/>
      <c r="F9" s="80"/>
      <c r="G9" s="81"/>
      <c r="H9" s="77"/>
      <c r="I9" s="38"/>
      <c r="J9" s="38"/>
      <c r="K9" s="72"/>
      <c r="L9" s="38"/>
      <c r="M9" s="78"/>
      <c r="N9" s="60"/>
      <c r="O9" s="61"/>
    </row>
    <row r="10" spans="2:24" ht="42.75" customHeight="1" x14ac:dyDescent="0.3">
      <c r="B10" s="79"/>
      <c r="C10" s="80"/>
      <c r="D10" s="80"/>
      <c r="E10" s="80"/>
      <c r="F10" s="80"/>
      <c r="G10" s="81"/>
      <c r="H10" s="77"/>
      <c r="I10" s="38"/>
      <c r="J10" s="38"/>
      <c r="K10" s="72"/>
      <c r="L10" s="38"/>
      <c r="M10" s="78"/>
      <c r="N10" s="60"/>
      <c r="O10" s="61"/>
    </row>
    <row r="11" spans="2:24" ht="42.75" customHeight="1" x14ac:dyDescent="0.3">
      <c r="B11" s="79"/>
      <c r="C11" s="80"/>
      <c r="D11" s="80"/>
      <c r="E11" s="80"/>
      <c r="F11" s="80"/>
      <c r="G11" s="81"/>
      <c r="H11" s="77"/>
      <c r="I11" s="38"/>
      <c r="J11" s="38"/>
      <c r="K11" s="72"/>
      <c r="L11" s="38"/>
      <c r="M11" s="78"/>
      <c r="N11" s="60"/>
      <c r="O11" s="61"/>
    </row>
    <row r="12" spans="2:24" ht="42.75" customHeight="1" x14ac:dyDescent="0.3">
      <c r="B12" s="79"/>
      <c r="C12" s="80"/>
      <c r="D12" s="80"/>
      <c r="E12" s="80"/>
      <c r="F12" s="80"/>
      <c r="G12" s="81"/>
      <c r="H12" s="77"/>
      <c r="I12" s="38"/>
      <c r="J12" s="38"/>
      <c r="K12" s="72"/>
      <c r="L12" s="38"/>
      <c r="M12" s="78"/>
      <c r="N12" s="60"/>
      <c r="O12" s="61"/>
    </row>
    <row r="13" spans="2:24" ht="42.75" customHeight="1" x14ac:dyDescent="0.3">
      <c r="B13" s="79"/>
      <c r="C13" s="80"/>
      <c r="D13" s="80"/>
      <c r="E13" s="80"/>
      <c r="F13" s="80"/>
      <c r="G13" s="81"/>
      <c r="H13" s="77"/>
      <c r="I13" s="38"/>
      <c r="J13" s="38"/>
      <c r="K13" s="72"/>
      <c r="L13" s="38"/>
      <c r="M13" s="78"/>
      <c r="N13" s="60"/>
      <c r="O13" s="61"/>
    </row>
    <row r="14" spans="2:24" ht="42.75" customHeight="1" x14ac:dyDescent="0.3">
      <c r="B14" s="79"/>
      <c r="C14" s="80"/>
      <c r="D14" s="80"/>
      <c r="E14" s="80"/>
      <c r="F14" s="80"/>
      <c r="G14" s="81"/>
      <c r="H14" s="77"/>
      <c r="I14" s="38"/>
      <c r="J14" s="38"/>
      <c r="K14" s="72"/>
      <c r="L14" s="38"/>
      <c r="M14" s="78"/>
      <c r="N14" s="60"/>
      <c r="O14" s="61"/>
    </row>
    <row r="15" spans="2:24" ht="42.75" customHeight="1" x14ac:dyDescent="0.3">
      <c r="B15" s="79"/>
      <c r="C15" s="80"/>
      <c r="D15" s="80"/>
      <c r="E15" s="80"/>
      <c r="F15" s="80"/>
      <c r="G15" s="81"/>
      <c r="H15" s="77"/>
      <c r="I15" s="38"/>
      <c r="J15" s="38"/>
      <c r="K15" s="72"/>
      <c r="L15" s="38"/>
      <c r="M15" s="78"/>
      <c r="N15" s="60"/>
      <c r="O15" s="61"/>
    </row>
    <row r="16" spans="2:24" ht="42.75" customHeight="1" x14ac:dyDescent="0.3">
      <c r="B16" s="79"/>
      <c r="C16" s="80"/>
      <c r="D16" s="80"/>
      <c r="E16" s="80"/>
      <c r="F16" s="80"/>
      <c r="G16" s="81"/>
      <c r="H16" s="77"/>
      <c r="I16" s="38"/>
      <c r="J16" s="38"/>
      <c r="K16" s="72"/>
      <c r="L16" s="38"/>
      <c r="M16" s="78"/>
      <c r="N16" s="60"/>
      <c r="O16" s="61"/>
    </row>
    <row r="17" spans="2:24" ht="42.75" customHeight="1" x14ac:dyDescent="0.3">
      <c r="B17" s="79"/>
      <c r="C17" s="80"/>
      <c r="D17" s="80"/>
      <c r="E17" s="80"/>
      <c r="F17" s="80"/>
      <c r="G17" s="81"/>
      <c r="H17" s="77"/>
      <c r="I17" s="38"/>
      <c r="J17" s="38"/>
      <c r="K17" s="72"/>
      <c r="L17" s="38"/>
      <c r="M17" s="78"/>
      <c r="N17" s="60"/>
      <c r="O17" s="61"/>
    </row>
    <row r="18" spans="2:24" ht="42.75" customHeight="1" x14ac:dyDescent="0.3">
      <c r="B18" s="79"/>
      <c r="C18" s="80"/>
      <c r="D18" s="80"/>
      <c r="E18" s="80"/>
      <c r="F18" s="80"/>
      <c r="G18" s="81"/>
      <c r="H18" s="77"/>
      <c r="I18" s="38"/>
      <c r="J18" s="38"/>
      <c r="K18" s="72"/>
      <c r="L18" s="38"/>
      <c r="M18" s="78"/>
      <c r="N18" s="60"/>
      <c r="O18" s="61"/>
    </row>
    <row r="19" spans="2:24" ht="42.75" customHeight="1" x14ac:dyDescent="0.3">
      <c r="B19" s="79"/>
      <c r="C19" s="80"/>
      <c r="D19" s="80"/>
      <c r="E19" s="80"/>
      <c r="F19" s="80"/>
      <c r="G19" s="81"/>
      <c r="H19" s="77"/>
      <c r="I19" s="38"/>
      <c r="J19" s="38"/>
      <c r="K19" s="72"/>
      <c r="L19" s="38"/>
      <c r="M19" s="78"/>
      <c r="N19" s="60"/>
      <c r="O19" s="61"/>
    </row>
    <row r="20" spans="2:24" ht="42.75" customHeight="1" x14ac:dyDescent="0.3">
      <c r="B20" s="79"/>
      <c r="C20" s="80"/>
      <c r="D20" s="80"/>
      <c r="E20" s="80"/>
      <c r="F20" s="80"/>
      <c r="G20" s="81"/>
      <c r="H20" s="77"/>
      <c r="I20" s="38"/>
      <c r="J20" s="38"/>
      <c r="K20" s="72"/>
      <c r="L20" s="38"/>
      <c r="M20" s="78"/>
      <c r="N20" s="60"/>
      <c r="O20" s="61"/>
    </row>
    <row r="21" spans="2:24" ht="42.75" customHeight="1" x14ac:dyDescent="0.3">
      <c r="B21" s="13">
        <v>2</v>
      </c>
      <c r="C21" s="10"/>
      <c r="D21" s="10"/>
      <c r="E21" s="10"/>
      <c r="F21" s="10"/>
      <c r="G21" s="62"/>
      <c r="H21" s="77"/>
      <c r="I21" s="38"/>
      <c r="J21" s="38"/>
      <c r="K21" s="72"/>
      <c r="L21" s="38"/>
      <c r="M21" s="78"/>
      <c r="N21" s="60"/>
      <c r="O21" s="61"/>
      <c r="X21" t="s">
        <v>20</v>
      </c>
    </row>
    <row r="22" spans="2:24" ht="42.75" customHeight="1" x14ac:dyDescent="0.3">
      <c r="B22" s="13"/>
      <c r="C22" s="10"/>
      <c r="D22" s="10"/>
      <c r="E22" s="10"/>
      <c r="F22" s="10"/>
      <c r="G22" s="62"/>
      <c r="H22" s="77"/>
      <c r="I22" s="38"/>
      <c r="J22" s="38"/>
      <c r="K22" s="72"/>
      <c r="L22" s="38"/>
      <c r="M22" s="78"/>
      <c r="N22" s="60"/>
      <c r="O22" s="61"/>
    </row>
    <row r="23" spans="2:24" ht="42.75" customHeight="1" x14ac:dyDescent="0.3">
      <c r="B23" s="13"/>
      <c r="C23" s="10"/>
      <c r="D23" s="10"/>
      <c r="E23" s="10"/>
      <c r="F23" s="10"/>
      <c r="G23" s="62"/>
      <c r="H23" s="77"/>
      <c r="I23" s="38"/>
      <c r="J23" s="38"/>
      <c r="K23" s="72"/>
      <c r="L23" s="38"/>
      <c r="M23" s="78"/>
      <c r="N23" s="60"/>
      <c r="O23" s="61"/>
    </row>
    <row r="24" spans="2:24" ht="42.75" customHeight="1" x14ac:dyDescent="0.3">
      <c r="B24" s="13"/>
      <c r="C24" s="10"/>
      <c r="D24" s="10"/>
      <c r="E24" s="10"/>
      <c r="F24" s="10"/>
      <c r="G24" s="62"/>
      <c r="H24" s="77"/>
      <c r="I24" s="38"/>
      <c r="J24" s="38"/>
      <c r="K24" s="72"/>
      <c r="L24" s="38"/>
      <c r="M24" s="78"/>
      <c r="N24" s="60"/>
      <c r="O24" s="61"/>
    </row>
    <row r="25" spans="2:24" ht="42.75" customHeight="1" x14ac:dyDescent="0.3">
      <c r="B25" s="13"/>
      <c r="C25" s="10"/>
      <c r="D25" s="10"/>
      <c r="E25" s="10"/>
      <c r="F25" s="10"/>
      <c r="G25" s="62"/>
      <c r="H25" s="77"/>
      <c r="I25" s="38"/>
      <c r="J25" s="38"/>
      <c r="K25" s="72"/>
      <c r="L25" s="38"/>
      <c r="M25" s="78"/>
      <c r="N25" s="60"/>
      <c r="O25" s="61"/>
    </row>
    <row r="26" spans="2:24" ht="42.75" customHeight="1" x14ac:dyDescent="0.3">
      <c r="B26" s="13"/>
      <c r="C26" s="10"/>
      <c r="D26" s="10"/>
      <c r="E26" s="10"/>
      <c r="F26" s="10"/>
      <c r="G26" s="62"/>
      <c r="H26" s="77"/>
      <c r="I26" s="38"/>
      <c r="J26" s="38"/>
      <c r="K26" s="72"/>
      <c r="L26" s="38"/>
      <c r="M26" s="78"/>
      <c r="N26" s="60"/>
      <c r="O26" s="61"/>
    </row>
    <row r="27" spans="2:24" ht="42.75" customHeight="1" x14ac:dyDescent="0.3">
      <c r="B27" s="13"/>
      <c r="C27" s="10"/>
      <c r="D27" s="10"/>
      <c r="E27" s="10"/>
      <c r="F27" s="10"/>
      <c r="G27" s="62"/>
      <c r="H27" s="77"/>
      <c r="I27" s="38"/>
      <c r="J27" s="38"/>
      <c r="K27" s="72"/>
      <c r="L27" s="38"/>
      <c r="M27" s="78"/>
      <c r="N27" s="60"/>
      <c r="O27" s="61"/>
    </row>
    <row r="28" spans="2:24" ht="42.75" customHeight="1" x14ac:dyDescent="0.3">
      <c r="B28" s="13"/>
      <c r="C28" s="10"/>
      <c r="D28" s="10"/>
      <c r="E28" s="10"/>
      <c r="F28" s="10"/>
      <c r="G28" s="62"/>
      <c r="H28" s="77"/>
      <c r="I28" s="38"/>
      <c r="J28" s="38"/>
      <c r="K28" s="72"/>
      <c r="L28" s="38"/>
      <c r="M28" s="78"/>
      <c r="N28" s="60"/>
      <c r="O28" s="61"/>
    </row>
    <row r="29" spans="2:24" ht="42.75" customHeight="1" x14ac:dyDescent="0.3">
      <c r="B29" s="13"/>
      <c r="C29" s="10"/>
      <c r="D29" s="10"/>
      <c r="E29" s="10"/>
      <c r="F29" s="10"/>
      <c r="G29" s="62"/>
      <c r="H29" s="77"/>
      <c r="I29" s="38"/>
      <c r="J29" s="38"/>
      <c r="K29" s="72"/>
      <c r="L29" s="38"/>
      <c r="M29" s="78"/>
      <c r="N29" s="60"/>
      <c r="O29" s="61"/>
    </row>
    <row r="30" spans="2:24" ht="42.75" customHeight="1" x14ac:dyDescent="0.3">
      <c r="B30" s="13"/>
      <c r="C30" s="10"/>
      <c r="D30" s="10"/>
      <c r="E30" s="10"/>
      <c r="F30" s="10"/>
      <c r="G30" s="62"/>
      <c r="H30" s="77"/>
      <c r="I30" s="38"/>
      <c r="J30" s="38"/>
      <c r="K30" s="72"/>
      <c r="L30" s="38"/>
      <c r="M30" s="78"/>
      <c r="N30" s="60"/>
      <c r="O30" s="61"/>
    </row>
    <row r="31" spans="2:24" ht="42.75" customHeight="1" x14ac:dyDescent="0.3">
      <c r="B31" s="13">
        <v>3</v>
      </c>
      <c r="C31" s="10"/>
      <c r="D31" s="10"/>
      <c r="E31" s="10"/>
      <c r="F31" s="10"/>
      <c r="G31" s="62"/>
      <c r="H31" s="77"/>
      <c r="I31" s="38"/>
      <c r="J31" s="38"/>
      <c r="K31" s="72"/>
      <c r="L31" s="38"/>
      <c r="M31" s="78"/>
      <c r="N31" s="60"/>
      <c r="O31" s="61"/>
      <c r="X31" t="s">
        <v>1</v>
      </c>
    </row>
    <row r="32" spans="2:24" ht="42.75" customHeight="1" x14ac:dyDescent="0.3">
      <c r="B32" s="13">
        <v>4</v>
      </c>
      <c r="C32" s="10"/>
      <c r="D32" s="10"/>
      <c r="E32" s="10"/>
      <c r="F32" s="10"/>
      <c r="G32" s="62"/>
      <c r="H32" s="77"/>
      <c r="I32" s="38"/>
      <c r="J32" s="38"/>
      <c r="K32" s="72"/>
      <c r="L32" s="38"/>
      <c r="M32" s="78"/>
      <c r="N32" s="60"/>
      <c r="O32" s="61"/>
      <c r="X32" t="s">
        <v>2</v>
      </c>
    </row>
    <row r="33" spans="2:24" ht="42.75" customHeight="1" thickBot="1" x14ac:dyDescent="0.35">
      <c r="B33" s="14">
        <v>5</v>
      </c>
      <c r="C33" s="15"/>
      <c r="D33" s="15"/>
      <c r="E33" s="15"/>
      <c r="F33" s="15"/>
      <c r="G33" s="63"/>
      <c r="H33" s="77"/>
      <c r="I33" s="38"/>
      <c r="J33" s="38"/>
      <c r="K33" s="72"/>
      <c r="L33" s="38"/>
      <c r="M33" s="78"/>
      <c r="N33" s="60"/>
      <c r="O33" s="61"/>
      <c r="X33" t="s">
        <v>3</v>
      </c>
    </row>
    <row r="34" spans="2:24" ht="42.75" customHeight="1" x14ac:dyDescent="0.3">
      <c r="C34" s="3"/>
      <c r="D34" s="3"/>
      <c r="E34" s="3"/>
      <c r="F34" s="3"/>
      <c r="G34" s="4"/>
      <c r="H34" s="4"/>
      <c r="I34" s="4"/>
      <c r="J34" s="4"/>
      <c r="K34" s="4"/>
      <c r="L34" s="4"/>
      <c r="M34" s="5"/>
      <c r="N34" s="4"/>
      <c r="O34" s="5"/>
      <c r="X34" t="s">
        <v>4</v>
      </c>
    </row>
    <row r="35" spans="2:24" ht="42.75" customHeight="1" x14ac:dyDescent="0.3">
      <c r="C35" s="3"/>
      <c r="D35" s="3"/>
      <c r="E35" s="3"/>
      <c r="F35" s="3"/>
      <c r="G35" s="4"/>
      <c r="H35" s="4"/>
      <c r="I35" s="4"/>
      <c r="J35" s="4"/>
      <c r="K35" s="4"/>
      <c r="L35" s="4"/>
      <c r="M35" s="5"/>
      <c r="N35" s="4"/>
      <c r="O35" s="5"/>
      <c r="X35" t="s">
        <v>5</v>
      </c>
    </row>
    <row r="36" spans="2:24" ht="42.75" customHeight="1" x14ac:dyDescent="0.3">
      <c r="C36" s="3"/>
      <c r="D36" s="3"/>
      <c r="E36" s="3"/>
      <c r="F36" s="3"/>
      <c r="G36" s="4"/>
      <c r="H36" s="4"/>
      <c r="I36" s="4"/>
      <c r="J36" s="4"/>
      <c r="K36" s="4"/>
      <c r="L36" s="4"/>
      <c r="M36" s="3"/>
      <c r="N36" s="4"/>
      <c r="O36" s="3"/>
      <c r="X36" t="s">
        <v>6</v>
      </c>
    </row>
    <row r="37" spans="2:24" ht="42.75" customHeight="1" x14ac:dyDescent="0.3">
      <c r="C37" s="3"/>
      <c r="D37" s="3"/>
      <c r="E37" s="3"/>
      <c r="F37" s="3"/>
      <c r="G37" s="5"/>
      <c r="H37" s="5"/>
      <c r="I37" s="5"/>
      <c r="J37" s="5"/>
      <c r="K37" s="5"/>
      <c r="L37" s="5"/>
      <c r="M37" s="5"/>
      <c r="N37" s="5"/>
      <c r="O37" s="5"/>
      <c r="X37" t="s">
        <v>7</v>
      </c>
    </row>
    <row r="38" spans="2:24" ht="28.5" customHeight="1" x14ac:dyDescent="0.3">
      <c r="C38" s="3"/>
      <c r="D38" s="3"/>
      <c r="E38" s="3"/>
      <c r="F38" s="3"/>
      <c r="G38" s="5"/>
      <c r="H38" s="5"/>
      <c r="I38" s="5"/>
      <c r="J38" s="5"/>
      <c r="K38" s="5"/>
      <c r="L38" s="5"/>
      <c r="M38" s="5"/>
      <c r="N38" s="5"/>
      <c r="O38" s="5"/>
      <c r="X38" t="s">
        <v>8</v>
      </c>
    </row>
    <row r="39" spans="2:24" x14ac:dyDescent="0.3">
      <c r="C39" s="3"/>
      <c r="D39" s="3"/>
      <c r="E39" s="3"/>
      <c r="F39" s="3"/>
      <c r="X39" t="s">
        <v>9</v>
      </c>
    </row>
    <row r="40" spans="2:24" ht="23.25" customHeight="1" x14ac:dyDescent="0.3">
      <c r="X40" t="s">
        <v>10</v>
      </c>
    </row>
    <row r="41" spans="2:24" x14ac:dyDescent="0.3">
      <c r="X41" t="s">
        <v>11</v>
      </c>
    </row>
    <row r="42" spans="2:24" x14ac:dyDescent="0.3">
      <c r="X42" t="s">
        <v>12</v>
      </c>
    </row>
    <row r="43" spans="2:24" x14ac:dyDescent="0.3">
      <c r="X43" t="s">
        <v>21</v>
      </c>
    </row>
  </sheetData>
  <mergeCells count="3">
    <mergeCell ref="H3:M3"/>
    <mergeCell ref="N3:O3"/>
    <mergeCell ref="B3:G3"/>
  </mergeCells>
  <dataValidations count="2">
    <dataValidation type="list" allowBlank="1" showInputMessage="1" showErrorMessage="1" sqref="O32:O40 G91:O94 G85:O88 G81:O82 G76:O78 G65:O73 G58:O62 G43:O55 G97:O98 G32:G40 H34:N40" xr:uid="{2478C578-A5EE-4BAD-94A6-072CA7ED7118}">
      <formula1>$R$4:$R$5</formula1>
    </dataValidation>
    <dataValidation type="list" allowBlank="1" showInputMessage="1" showErrorMessage="1" sqref="N5:N33 K5:K33" xr:uid="{AE61ADD4-3D4F-463F-8354-69C5A2E367F7}">
      <formula1>"Complied,Not Applicable,Not in Scope of Frauscher,Partially Complied,Not Complied,Complied with comment"</formula1>
    </dataValidation>
  </dataValidations>
  <pageMargins left="0.70866141732283472" right="0.70866141732283472" top="0.74803149606299213" bottom="0.74803149606299213" header="0.31496062992125984" footer="0.31496062992125984"/>
  <pageSetup paperSize="9" scale="57" orientation="portrait" r:id="rId1"/>
  <headerFooter>
    <oddFooter>&amp;LFormat ref.- FSTI/BD/QSF/BPS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1D4D-6FCA-40C0-A4FE-7C4785EA4533}">
  <dimension ref="B2:R43"/>
  <sheetViews>
    <sheetView zoomScale="90" zoomScaleNormal="90" zoomScalePageLayoutView="90" workbookViewId="0">
      <selection activeCell="F10" sqref="F10"/>
    </sheetView>
  </sheetViews>
  <sheetFormatPr defaultRowHeight="14.4" x14ac:dyDescent="0.3"/>
  <cols>
    <col min="1" max="1" width="2.44140625" customWidth="1"/>
    <col min="2" max="2" width="8.88671875" style="6" customWidth="1"/>
    <col min="3" max="3" width="25.44140625" customWidth="1"/>
    <col min="4" max="6" width="23.5546875" customWidth="1"/>
    <col min="7" max="7" width="32.6640625" style="2" customWidth="1"/>
    <col min="8" max="9" width="45.44140625" style="2" customWidth="1"/>
    <col min="10" max="10" width="14.5546875" customWidth="1"/>
    <col min="18" max="18" width="9.109375" hidden="1" customWidth="1"/>
    <col min="28" max="28" width="21.88671875" customWidth="1"/>
  </cols>
  <sheetData>
    <row r="2" spans="2:18" ht="15" thickBot="1" x14ac:dyDescent="0.35">
      <c r="C2" s="1"/>
      <c r="D2" s="8"/>
      <c r="E2" s="8"/>
      <c r="F2" s="8"/>
      <c r="G2" s="8"/>
    </row>
    <row r="3" spans="2:18" ht="15.75" customHeight="1" thickBot="1" x14ac:dyDescent="0.35">
      <c r="B3" s="216" t="s">
        <v>98</v>
      </c>
      <c r="C3" s="217"/>
      <c r="D3" s="217"/>
      <c r="E3" s="217"/>
      <c r="F3" s="217"/>
      <c r="G3" s="217"/>
      <c r="H3" s="218" t="s">
        <v>76</v>
      </c>
      <c r="I3" s="219"/>
    </row>
    <row r="4" spans="2:18" ht="29.4" thickBot="1" x14ac:dyDescent="0.35">
      <c r="B4" s="9" t="s">
        <v>23</v>
      </c>
      <c r="C4" s="43" t="s">
        <v>75</v>
      </c>
      <c r="D4" s="44" t="s">
        <v>73</v>
      </c>
      <c r="E4" s="44" t="s">
        <v>74</v>
      </c>
      <c r="F4" s="44" t="s">
        <v>77</v>
      </c>
      <c r="G4" s="45" t="s">
        <v>79</v>
      </c>
      <c r="H4" s="73" t="s">
        <v>96</v>
      </c>
      <c r="I4" s="54" t="s">
        <v>22</v>
      </c>
      <c r="R4" t="s">
        <v>13</v>
      </c>
    </row>
    <row r="5" spans="2:18" ht="42.75" customHeight="1" x14ac:dyDescent="0.3">
      <c r="B5" s="11">
        <v>1</v>
      </c>
      <c r="C5" s="12"/>
      <c r="D5" s="12"/>
      <c r="E5" s="12"/>
      <c r="F5" s="12"/>
      <c r="G5" s="42"/>
      <c r="H5" s="69"/>
      <c r="I5" s="55"/>
      <c r="R5" t="s">
        <v>0</v>
      </c>
    </row>
    <row r="6" spans="2:18" ht="42.75" customHeight="1" x14ac:dyDescent="0.3">
      <c r="B6" s="79"/>
      <c r="C6" s="80"/>
      <c r="D6" s="80"/>
      <c r="E6" s="80"/>
      <c r="F6" s="80"/>
      <c r="G6" s="81"/>
      <c r="H6" s="82"/>
      <c r="I6" s="83"/>
    </row>
    <row r="7" spans="2:18" ht="42.75" customHeight="1" x14ac:dyDescent="0.3">
      <c r="B7" s="79"/>
      <c r="C7" s="80"/>
      <c r="D7" s="80"/>
      <c r="E7" s="80"/>
      <c r="F7" s="80"/>
      <c r="G7" s="81"/>
      <c r="H7" s="82"/>
      <c r="I7" s="83"/>
    </row>
    <row r="8" spans="2:18" ht="42.75" customHeight="1" x14ac:dyDescent="0.3">
      <c r="B8" s="79"/>
      <c r="C8" s="80"/>
      <c r="D8" s="80"/>
      <c r="E8" s="80"/>
      <c r="F8" s="80"/>
      <c r="G8" s="81"/>
      <c r="H8" s="82"/>
      <c r="I8" s="83"/>
    </row>
    <row r="9" spans="2:18" ht="42.75" customHeight="1" x14ac:dyDescent="0.3">
      <c r="B9" s="79"/>
      <c r="C9" s="80"/>
      <c r="D9" s="80"/>
      <c r="E9" s="80"/>
      <c r="F9" s="80"/>
      <c r="G9" s="81"/>
      <c r="H9" s="82"/>
      <c r="I9" s="83"/>
    </row>
    <row r="10" spans="2:18" ht="42.75" customHeight="1" x14ac:dyDescent="0.3">
      <c r="B10" s="79"/>
      <c r="C10" s="80"/>
      <c r="D10" s="80"/>
      <c r="E10" s="80"/>
      <c r="F10" s="80"/>
      <c r="G10" s="81"/>
      <c r="H10" s="82"/>
      <c r="I10" s="83"/>
    </row>
    <row r="11" spans="2:18" ht="42.75" customHeight="1" x14ac:dyDescent="0.3">
      <c r="B11" s="79"/>
      <c r="C11" s="80"/>
      <c r="D11" s="80"/>
      <c r="E11" s="80"/>
      <c r="F11" s="80"/>
      <c r="G11" s="81"/>
      <c r="H11" s="82"/>
      <c r="I11" s="83"/>
    </row>
    <row r="12" spans="2:18" ht="42.75" customHeight="1" x14ac:dyDescent="0.3">
      <c r="B12" s="79"/>
      <c r="C12" s="80"/>
      <c r="D12" s="80"/>
      <c r="E12" s="80"/>
      <c r="F12" s="80"/>
      <c r="G12" s="81"/>
      <c r="H12" s="82"/>
      <c r="I12" s="83"/>
    </row>
    <row r="13" spans="2:18" ht="42.75" customHeight="1" x14ac:dyDescent="0.3">
      <c r="B13" s="79"/>
      <c r="C13" s="80"/>
      <c r="D13" s="80"/>
      <c r="E13" s="80"/>
      <c r="F13" s="80"/>
      <c r="G13" s="81"/>
      <c r="H13" s="82"/>
      <c r="I13" s="83"/>
    </row>
    <row r="14" spans="2:18" ht="42.75" customHeight="1" x14ac:dyDescent="0.3">
      <c r="B14" s="79"/>
      <c r="C14" s="80"/>
      <c r="D14" s="80"/>
      <c r="E14" s="80"/>
      <c r="F14" s="80"/>
      <c r="G14" s="81"/>
      <c r="H14" s="82"/>
      <c r="I14" s="83"/>
    </row>
    <row r="15" spans="2:18" ht="42.75" customHeight="1" x14ac:dyDescent="0.3">
      <c r="B15" s="79"/>
      <c r="C15" s="80"/>
      <c r="D15" s="80"/>
      <c r="E15" s="80"/>
      <c r="F15" s="80"/>
      <c r="G15" s="81"/>
      <c r="H15" s="82"/>
      <c r="I15" s="83"/>
    </row>
    <row r="16" spans="2:18" ht="42.75" customHeight="1" x14ac:dyDescent="0.3">
      <c r="B16" s="79"/>
      <c r="C16" s="80"/>
      <c r="D16" s="80"/>
      <c r="E16" s="80"/>
      <c r="F16" s="80"/>
      <c r="G16" s="81"/>
      <c r="H16" s="82"/>
      <c r="I16" s="83"/>
    </row>
    <row r="17" spans="2:18" ht="42.75" customHeight="1" x14ac:dyDescent="0.3">
      <c r="B17" s="79"/>
      <c r="C17" s="80"/>
      <c r="D17" s="80"/>
      <c r="E17" s="80"/>
      <c r="F17" s="80"/>
      <c r="G17" s="81"/>
      <c r="H17" s="82"/>
      <c r="I17" s="83"/>
    </row>
    <row r="18" spans="2:18" ht="42.75" customHeight="1" x14ac:dyDescent="0.3">
      <c r="B18" s="79"/>
      <c r="C18" s="80"/>
      <c r="D18" s="80"/>
      <c r="E18" s="80"/>
      <c r="F18" s="80"/>
      <c r="G18" s="81"/>
      <c r="H18" s="82"/>
      <c r="I18" s="83"/>
    </row>
    <row r="19" spans="2:18" ht="42.75" customHeight="1" x14ac:dyDescent="0.3">
      <c r="B19" s="79"/>
      <c r="C19" s="80"/>
      <c r="D19" s="80"/>
      <c r="E19" s="80"/>
      <c r="F19" s="80"/>
      <c r="G19" s="81"/>
      <c r="H19" s="82"/>
      <c r="I19" s="83"/>
    </row>
    <row r="20" spans="2:18" ht="42.75" customHeight="1" x14ac:dyDescent="0.3">
      <c r="B20" s="79"/>
      <c r="C20" s="80"/>
      <c r="D20" s="80"/>
      <c r="E20" s="80"/>
      <c r="F20" s="80"/>
      <c r="G20" s="81"/>
      <c r="H20" s="82"/>
      <c r="I20" s="83"/>
    </row>
    <row r="21" spans="2:18" ht="42.75" customHeight="1" x14ac:dyDescent="0.3">
      <c r="B21" s="13">
        <v>2</v>
      </c>
      <c r="C21" s="10"/>
      <c r="D21" s="10"/>
      <c r="E21" s="10"/>
      <c r="F21" s="10"/>
      <c r="G21" s="62"/>
      <c r="H21" s="70"/>
      <c r="I21" s="56"/>
      <c r="R21" t="s">
        <v>20</v>
      </c>
    </row>
    <row r="22" spans="2:18" ht="42.75" customHeight="1" x14ac:dyDescent="0.3">
      <c r="B22" s="13"/>
      <c r="C22" s="10"/>
      <c r="D22" s="10"/>
      <c r="E22" s="10"/>
      <c r="F22" s="10"/>
      <c r="G22" s="62"/>
      <c r="H22" s="70"/>
      <c r="I22" s="56"/>
    </row>
    <row r="23" spans="2:18" ht="42.75" customHeight="1" x14ac:dyDescent="0.3">
      <c r="B23" s="13"/>
      <c r="C23" s="10"/>
      <c r="D23" s="10"/>
      <c r="E23" s="10"/>
      <c r="F23" s="10"/>
      <c r="G23" s="62"/>
      <c r="H23" s="70"/>
      <c r="I23" s="56"/>
    </row>
    <row r="24" spans="2:18" ht="42.75" customHeight="1" x14ac:dyDescent="0.3">
      <c r="B24" s="13"/>
      <c r="C24" s="10"/>
      <c r="D24" s="10"/>
      <c r="E24" s="10"/>
      <c r="F24" s="10"/>
      <c r="G24" s="62"/>
      <c r="H24" s="70"/>
      <c r="I24" s="56"/>
    </row>
    <row r="25" spans="2:18" ht="42.75" customHeight="1" x14ac:dyDescent="0.3">
      <c r="B25" s="13"/>
      <c r="C25" s="10"/>
      <c r="D25" s="10"/>
      <c r="E25" s="10"/>
      <c r="F25" s="10"/>
      <c r="G25" s="62"/>
      <c r="H25" s="70"/>
      <c r="I25" s="56"/>
    </row>
    <row r="26" spans="2:18" ht="42.75" customHeight="1" x14ac:dyDescent="0.3">
      <c r="B26" s="13"/>
      <c r="C26" s="10"/>
      <c r="D26" s="10"/>
      <c r="E26" s="10"/>
      <c r="F26" s="10"/>
      <c r="G26" s="62"/>
      <c r="H26" s="70"/>
      <c r="I26" s="56"/>
    </row>
    <row r="27" spans="2:18" ht="42.75" customHeight="1" x14ac:dyDescent="0.3">
      <c r="B27" s="13"/>
      <c r="C27" s="10"/>
      <c r="D27" s="10"/>
      <c r="E27" s="10"/>
      <c r="F27" s="10"/>
      <c r="G27" s="62"/>
      <c r="H27" s="70"/>
      <c r="I27" s="56"/>
    </row>
    <row r="28" spans="2:18" ht="42.75" customHeight="1" x14ac:dyDescent="0.3">
      <c r="B28" s="13"/>
      <c r="C28" s="10"/>
      <c r="D28" s="10"/>
      <c r="E28" s="10"/>
      <c r="F28" s="10"/>
      <c r="G28" s="62"/>
      <c r="H28" s="70"/>
      <c r="I28" s="56"/>
    </row>
    <row r="29" spans="2:18" ht="42.75" customHeight="1" x14ac:dyDescent="0.3">
      <c r="B29" s="13"/>
      <c r="C29" s="10"/>
      <c r="D29" s="10"/>
      <c r="E29" s="10"/>
      <c r="F29" s="10"/>
      <c r="G29" s="62"/>
      <c r="H29" s="70"/>
      <c r="I29" s="56"/>
    </row>
    <row r="30" spans="2:18" ht="42.75" customHeight="1" x14ac:dyDescent="0.3">
      <c r="B30" s="13"/>
      <c r="C30" s="10"/>
      <c r="D30" s="10"/>
      <c r="E30" s="10"/>
      <c r="F30" s="10"/>
      <c r="G30" s="62"/>
      <c r="H30" s="70"/>
      <c r="I30" s="56"/>
    </row>
    <row r="31" spans="2:18" ht="42.75" customHeight="1" x14ac:dyDescent="0.3">
      <c r="B31" s="13">
        <v>3</v>
      </c>
      <c r="C31" s="10"/>
      <c r="D31" s="10"/>
      <c r="E31" s="10"/>
      <c r="F31" s="10"/>
      <c r="G31" s="62"/>
      <c r="H31" s="70"/>
      <c r="I31" s="56"/>
      <c r="R31" t="s">
        <v>1</v>
      </c>
    </row>
    <row r="32" spans="2:18" ht="42.75" customHeight="1" x14ac:dyDescent="0.3">
      <c r="B32" s="13">
        <v>4</v>
      </c>
      <c r="C32" s="10"/>
      <c r="D32" s="10"/>
      <c r="E32" s="10"/>
      <c r="F32" s="10"/>
      <c r="G32" s="62"/>
      <c r="H32" s="70"/>
      <c r="I32" s="56"/>
      <c r="R32" t="s">
        <v>2</v>
      </c>
    </row>
    <row r="33" spans="2:18" ht="42.75" customHeight="1" thickBot="1" x14ac:dyDescent="0.35">
      <c r="B33" s="14">
        <v>5</v>
      </c>
      <c r="C33" s="15"/>
      <c r="D33" s="15"/>
      <c r="E33" s="15"/>
      <c r="F33" s="15"/>
      <c r="G33" s="63"/>
      <c r="H33" s="71"/>
      <c r="I33" s="57"/>
      <c r="R33" t="s">
        <v>3</v>
      </c>
    </row>
    <row r="34" spans="2:18" ht="42.75" customHeight="1" x14ac:dyDescent="0.3">
      <c r="C34" s="3"/>
      <c r="D34" s="3"/>
      <c r="E34" s="3"/>
      <c r="F34" s="3"/>
      <c r="G34" s="4"/>
      <c r="H34" s="5"/>
      <c r="I34" s="5"/>
      <c r="R34" t="s">
        <v>4</v>
      </c>
    </row>
    <row r="35" spans="2:18" ht="42.75" customHeight="1" x14ac:dyDescent="0.3">
      <c r="C35" s="3"/>
      <c r="D35" s="3"/>
      <c r="E35" s="3"/>
      <c r="F35" s="3"/>
      <c r="G35" s="4"/>
      <c r="H35" s="5"/>
      <c r="I35" s="5"/>
      <c r="R35" t="s">
        <v>5</v>
      </c>
    </row>
    <row r="36" spans="2:18" ht="42.75" customHeight="1" x14ac:dyDescent="0.3">
      <c r="C36" s="3"/>
      <c r="D36" s="3"/>
      <c r="E36" s="3"/>
      <c r="F36" s="3"/>
      <c r="G36" s="4"/>
      <c r="H36" s="3"/>
      <c r="I36" s="3"/>
      <c r="R36" t="s">
        <v>6</v>
      </c>
    </row>
    <row r="37" spans="2:18" ht="42.75" customHeight="1" x14ac:dyDescent="0.3">
      <c r="C37" s="3"/>
      <c r="D37" s="3"/>
      <c r="E37" s="3"/>
      <c r="F37" s="3"/>
      <c r="G37" s="5"/>
      <c r="H37" s="5"/>
      <c r="I37" s="5"/>
      <c r="R37" t="s">
        <v>7</v>
      </c>
    </row>
    <row r="38" spans="2:18" ht="28.5" customHeight="1" x14ac:dyDescent="0.3">
      <c r="C38" s="3"/>
      <c r="D38" s="3"/>
      <c r="E38" s="3"/>
      <c r="F38" s="3"/>
      <c r="G38" s="5"/>
      <c r="H38" s="5"/>
      <c r="I38" s="5"/>
      <c r="R38" t="s">
        <v>8</v>
      </c>
    </row>
    <row r="39" spans="2:18" x14ac:dyDescent="0.3">
      <c r="C39" s="3"/>
      <c r="D39" s="3"/>
      <c r="E39" s="3"/>
      <c r="F39" s="3"/>
      <c r="R39" t="s">
        <v>9</v>
      </c>
    </row>
    <row r="40" spans="2:18" ht="23.25" customHeight="1" x14ac:dyDescent="0.3">
      <c r="R40" t="s">
        <v>10</v>
      </c>
    </row>
    <row r="41" spans="2:18" x14ac:dyDescent="0.3">
      <c r="R41" t="s">
        <v>11</v>
      </c>
    </row>
    <row r="42" spans="2:18" x14ac:dyDescent="0.3">
      <c r="R42" t="s">
        <v>12</v>
      </c>
    </row>
    <row r="43" spans="2:18" x14ac:dyDescent="0.3">
      <c r="R43" t="s">
        <v>21</v>
      </c>
    </row>
  </sheetData>
  <mergeCells count="2">
    <mergeCell ref="B3:G3"/>
    <mergeCell ref="H3:I3"/>
  </mergeCells>
  <dataValidations count="1">
    <dataValidation type="list" allowBlank="1" showInputMessage="1" showErrorMessage="1" sqref="G91:I94 G85:I88 G81:I82 G76:I78 G65:I73 G58:I62 G43:I55 G97:I98 G32:I40" xr:uid="{0F6CA296-EF1B-4E66-9B56-FC9D5A049920}">
      <formula1>$L$4:$L$5</formula1>
    </dataValidation>
  </dataValidations>
  <pageMargins left="0.70866141732283472" right="0.70866141732283472" top="0.74803149606299213" bottom="0.74803149606299213" header="0.31496062992125984" footer="0.31496062992125984"/>
  <pageSetup paperSize="9" scale="57" orientation="portrait" r:id="rId1"/>
  <headerFooter>
    <oddFooter>&amp;LFormat ref.- FSTI/BD/QSF/BPS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FEE25-0DF3-43CA-BF33-BA7667A24B7F}">
  <dimension ref="A1:E31"/>
  <sheetViews>
    <sheetView workbookViewId="0">
      <selection activeCell="F10" sqref="F10"/>
    </sheetView>
  </sheetViews>
  <sheetFormatPr defaultRowHeight="14.4" x14ac:dyDescent="0.3"/>
  <cols>
    <col min="1" max="1" width="8.88671875" customWidth="1"/>
    <col min="2" max="2" width="26.33203125" bestFit="1" customWidth="1"/>
    <col min="3" max="4" width="51.5546875" customWidth="1"/>
    <col min="5" max="5" width="19.6640625" customWidth="1"/>
  </cols>
  <sheetData>
    <row r="1" spans="1:5" x14ac:dyDescent="0.3">
      <c r="A1" s="94" t="s">
        <v>94</v>
      </c>
      <c r="B1" s="95" t="s">
        <v>95</v>
      </c>
      <c r="C1" s="95" t="s">
        <v>183</v>
      </c>
      <c r="D1" s="95" t="s">
        <v>186</v>
      </c>
      <c r="E1" s="96" t="s">
        <v>93</v>
      </c>
    </row>
    <row r="2" spans="1:5" x14ac:dyDescent="0.3">
      <c r="A2" s="68">
        <v>1</v>
      </c>
      <c r="B2" s="68" t="s">
        <v>150</v>
      </c>
      <c r="C2" s="97" t="s">
        <v>153</v>
      </c>
      <c r="D2" s="68"/>
      <c r="E2" s="68"/>
    </row>
    <row r="3" spans="1:5" x14ac:dyDescent="0.3">
      <c r="A3" s="68">
        <v>2</v>
      </c>
      <c r="B3" s="68" t="s">
        <v>156</v>
      </c>
      <c r="C3" s="97" t="s">
        <v>153</v>
      </c>
      <c r="D3" s="68"/>
      <c r="E3" s="68"/>
    </row>
    <row r="4" spans="1:5" x14ac:dyDescent="0.3">
      <c r="A4" s="68">
        <v>3</v>
      </c>
      <c r="B4" s="68" t="s">
        <v>151</v>
      </c>
      <c r="C4" s="97" t="s">
        <v>153</v>
      </c>
      <c r="D4" s="68"/>
      <c r="E4" s="68"/>
    </row>
    <row r="5" spans="1:5" x14ac:dyDescent="0.3">
      <c r="A5" s="68">
        <v>4</v>
      </c>
      <c r="B5" s="68" t="s">
        <v>154</v>
      </c>
      <c r="C5" s="97" t="s">
        <v>155</v>
      </c>
      <c r="D5" s="68"/>
      <c r="E5" s="68"/>
    </row>
    <row r="6" spans="1:5" x14ac:dyDescent="0.3">
      <c r="A6" s="68">
        <v>5</v>
      </c>
      <c r="B6" s="68" t="s">
        <v>171</v>
      </c>
      <c r="C6" s="97" t="s">
        <v>161</v>
      </c>
      <c r="D6" s="68"/>
      <c r="E6" s="68"/>
    </row>
    <row r="7" spans="1:5" x14ac:dyDescent="0.3">
      <c r="A7" s="68">
        <v>5</v>
      </c>
      <c r="B7" s="68" t="s">
        <v>152</v>
      </c>
      <c r="C7" s="97" t="s">
        <v>153</v>
      </c>
      <c r="D7" s="68"/>
      <c r="E7" s="68"/>
    </row>
    <row r="8" spans="1:5" x14ac:dyDescent="0.3">
      <c r="A8" s="68">
        <v>6</v>
      </c>
      <c r="B8" s="68" t="s">
        <v>157</v>
      </c>
      <c r="C8" s="97" t="s">
        <v>158</v>
      </c>
      <c r="D8" s="68"/>
      <c r="E8" s="68"/>
    </row>
    <row r="9" spans="1:5" x14ac:dyDescent="0.3">
      <c r="A9" s="68">
        <v>7</v>
      </c>
      <c r="B9" s="68" t="s">
        <v>159</v>
      </c>
      <c r="C9" s="97" t="s">
        <v>158</v>
      </c>
      <c r="D9" s="68"/>
      <c r="E9" s="68"/>
    </row>
    <row r="10" spans="1:5" x14ac:dyDescent="0.3">
      <c r="A10" s="68">
        <v>8</v>
      </c>
      <c r="B10" s="68" t="s">
        <v>160</v>
      </c>
      <c r="C10" s="97" t="s">
        <v>158</v>
      </c>
      <c r="D10" s="68"/>
      <c r="E10" s="68"/>
    </row>
    <row r="11" spans="1:5" x14ac:dyDescent="0.3">
      <c r="A11" s="68">
        <v>9</v>
      </c>
      <c r="B11" s="68" t="s">
        <v>162</v>
      </c>
      <c r="C11" s="97" t="s">
        <v>163</v>
      </c>
      <c r="D11" s="68"/>
      <c r="E11" s="68"/>
    </row>
    <row r="12" spans="1:5" x14ac:dyDescent="0.3">
      <c r="A12" s="68">
        <v>10</v>
      </c>
      <c r="B12" s="68" t="s">
        <v>173</v>
      </c>
      <c r="C12" s="97" t="s">
        <v>163</v>
      </c>
      <c r="D12" s="68"/>
      <c r="E12" s="68"/>
    </row>
    <row r="13" spans="1:5" x14ac:dyDescent="0.3">
      <c r="A13" s="68">
        <v>11</v>
      </c>
      <c r="B13" s="68" t="s">
        <v>172</v>
      </c>
      <c r="C13" s="97" t="s">
        <v>163</v>
      </c>
      <c r="D13" s="68"/>
      <c r="E13" s="68"/>
    </row>
    <row r="14" spans="1:5" x14ac:dyDescent="0.3">
      <c r="A14" s="68">
        <v>12</v>
      </c>
      <c r="B14" s="68" t="s">
        <v>170</v>
      </c>
      <c r="C14" s="97" t="s">
        <v>163</v>
      </c>
      <c r="D14" s="68"/>
      <c r="E14" s="68"/>
    </row>
    <row r="15" spans="1:5" x14ac:dyDescent="0.3">
      <c r="A15" s="68">
        <v>12</v>
      </c>
      <c r="B15" s="68" t="s">
        <v>150</v>
      </c>
      <c r="C15" s="97" t="s">
        <v>163</v>
      </c>
      <c r="D15" s="68"/>
      <c r="E15" s="68"/>
    </row>
    <row r="16" spans="1:5" x14ac:dyDescent="0.3">
      <c r="A16" s="68">
        <v>13</v>
      </c>
      <c r="B16" s="68" t="s">
        <v>164</v>
      </c>
      <c r="C16" s="97" t="s">
        <v>163</v>
      </c>
      <c r="D16" s="68"/>
      <c r="E16" s="68"/>
    </row>
    <row r="17" spans="1:5" x14ac:dyDescent="0.3">
      <c r="A17" s="68">
        <v>14</v>
      </c>
      <c r="B17" s="68" t="s">
        <v>165</v>
      </c>
      <c r="C17" s="97" t="s">
        <v>179</v>
      </c>
      <c r="D17" s="68"/>
      <c r="E17" s="68"/>
    </row>
    <row r="18" spans="1:5" x14ac:dyDescent="0.3">
      <c r="A18" s="68">
        <v>15</v>
      </c>
      <c r="B18" s="68" t="s">
        <v>100</v>
      </c>
      <c r="C18" s="97" t="s">
        <v>163</v>
      </c>
      <c r="D18" s="68"/>
      <c r="E18" s="68"/>
    </row>
    <row r="19" spans="1:5" x14ac:dyDescent="0.3">
      <c r="A19" s="68">
        <v>16</v>
      </c>
      <c r="B19" s="68" t="s">
        <v>166</v>
      </c>
      <c r="C19" s="97" t="s">
        <v>163</v>
      </c>
      <c r="D19" s="68"/>
      <c r="E19" s="68"/>
    </row>
    <row r="20" spans="1:5" x14ac:dyDescent="0.3">
      <c r="A20" s="68">
        <v>17</v>
      </c>
      <c r="B20" s="68" t="s">
        <v>132</v>
      </c>
      <c r="C20" s="97" t="s">
        <v>163</v>
      </c>
      <c r="D20" s="68"/>
      <c r="E20" s="68"/>
    </row>
    <row r="21" spans="1:5" x14ac:dyDescent="0.3">
      <c r="A21" s="68">
        <v>18</v>
      </c>
      <c r="B21" s="68" t="s">
        <v>167</v>
      </c>
      <c r="C21" s="97" t="s">
        <v>163</v>
      </c>
      <c r="D21" s="68"/>
      <c r="E21" s="16"/>
    </row>
    <row r="22" spans="1:5" x14ac:dyDescent="0.3">
      <c r="A22" s="68">
        <v>19</v>
      </c>
      <c r="B22" s="68" t="s">
        <v>168</v>
      </c>
      <c r="C22" s="97" t="s">
        <v>163</v>
      </c>
      <c r="D22" s="68"/>
      <c r="E22" s="16"/>
    </row>
    <row r="23" spans="1:5" x14ac:dyDescent="0.3">
      <c r="A23" s="68">
        <v>20</v>
      </c>
      <c r="B23" s="68" t="s">
        <v>169</v>
      </c>
      <c r="C23" s="97" t="s">
        <v>163</v>
      </c>
      <c r="D23" s="68"/>
      <c r="E23" s="16"/>
    </row>
    <row r="24" spans="1:5" ht="43.2" x14ac:dyDescent="0.3">
      <c r="A24" s="36">
        <v>21</v>
      </c>
      <c r="B24" s="93" t="s">
        <v>174</v>
      </c>
      <c r="C24" s="98" t="s">
        <v>182</v>
      </c>
      <c r="D24" s="36"/>
      <c r="E24" s="39"/>
    </row>
    <row r="25" spans="1:5" x14ac:dyDescent="0.3">
      <c r="A25" s="68">
        <v>22</v>
      </c>
      <c r="B25" s="68" t="s">
        <v>175</v>
      </c>
      <c r="C25" s="97" t="s">
        <v>176</v>
      </c>
      <c r="D25" s="68"/>
      <c r="E25" s="16"/>
    </row>
    <row r="26" spans="1:5" x14ac:dyDescent="0.3">
      <c r="A26" s="68">
        <v>23</v>
      </c>
      <c r="B26" s="68" t="s">
        <v>177</v>
      </c>
      <c r="C26" s="97" t="s">
        <v>163</v>
      </c>
      <c r="D26" s="68"/>
      <c r="E26" s="16"/>
    </row>
    <row r="27" spans="1:5" x14ac:dyDescent="0.3">
      <c r="A27" s="68">
        <v>24</v>
      </c>
      <c r="B27" s="68" t="s">
        <v>178</v>
      </c>
      <c r="C27" s="97" t="s">
        <v>163</v>
      </c>
      <c r="D27" s="68"/>
      <c r="E27" s="16"/>
    </row>
    <row r="28" spans="1:5" x14ac:dyDescent="0.3">
      <c r="A28" s="68">
        <v>25</v>
      </c>
      <c r="B28" s="68" t="s">
        <v>180</v>
      </c>
      <c r="C28" s="97" t="s">
        <v>163</v>
      </c>
      <c r="D28" s="68"/>
      <c r="E28" s="16"/>
    </row>
    <row r="29" spans="1:5" x14ac:dyDescent="0.3">
      <c r="A29" s="68">
        <v>26</v>
      </c>
      <c r="B29" s="68" t="s">
        <v>181</v>
      </c>
      <c r="C29" s="97" t="s">
        <v>163</v>
      </c>
      <c r="D29" s="68"/>
      <c r="E29" s="16"/>
    </row>
    <row r="30" spans="1:5" x14ac:dyDescent="0.3">
      <c r="A30" s="68">
        <v>27</v>
      </c>
      <c r="B30" s="68" t="s">
        <v>184</v>
      </c>
      <c r="C30" s="97" t="s">
        <v>153</v>
      </c>
      <c r="D30" s="16"/>
      <c r="E30" s="16"/>
    </row>
    <row r="31" spans="1:5" x14ac:dyDescent="0.3">
      <c r="A31" s="68">
        <v>28</v>
      </c>
      <c r="B31" s="16" t="s">
        <v>185</v>
      </c>
      <c r="C31" s="97" t="s">
        <v>153</v>
      </c>
      <c r="D31" s="16"/>
      <c r="E31" s="16"/>
    </row>
  </sheetData>
  <pageMargins left="0.70866141732283472" right="0.70866141732283472" top="0.74803149606299213" bottom="0.74803149606299213" header="0.31496062992125984" footer="0.31496062992125984"/>
  <pageSetup paperSize="9" scale="57" orientation="portrait" r:id="rId1"/>
  <headerFooter>
    <oddFooter>&amp;LFormat ref.- FSTI/BD/QSF/BPS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42501-03BB-4C52-9C22-F153EF4F889D}">
  <dimension ref="A1:P72"/>
  <sheetViews>
    <sheetView topLeftCell="A7" workbookViewId="0">
      <selection activeCell="G36" sqref="G36"/>
    </sheetView>
  </sheetViews>
  <sheetFormatPr defaultColWidth="9.109375" defaultRowHeight="14.4" x14ac:dyDescent="0.3"/>
  <cols>
    <col min="1" max="1" width="9.109375" style="65"/>
    <col min="2" max="2" width="23" customWidth="1"/>
    <col min="3" max="3" width="66.6640625" customWidth="1"/>
    <col min="4" max="4" width="9.109375" style="65"/>
    <col min="5" max="5" width="9.44140625" style="65" customWidth="1"/>
    <col min="6" max="6" width="11.21875" style="65" customWidth="1"/>
    <col min="7" max="7" width="17" style="65" customWidth="1"/>
    <col min="8" max="16384" width="9.109375" style="65"/>
  </cols>
  <sheetData>
    <row r="1" spans="1:4" ht="15" thickBot="1" x14ac:dyDescent="0.35"/>
    <row r="2" spans="1:4" s="123" customFormat="1" ht="15" thickBot="1" x14ac:dyDescent="0.35">
      <c r="A2" s="119"/>
      <c r="B2" s="120" t="s">
        <v>248</v>
      </c>
      <c r="C2" s="121" t="s">
        <v>249</v>
      </c>
      <c r="D2" s="122" t="s">
        <v>250</v>
      </c>
    </row>
    <row r="3" spans="1:4" ht="12.75" customHeight="1" x14ac:dyDescent="0.3">
      <c r="A3" s="221" t="s">
        <v>251</v>
      </c>
      <c r="B3" s="222"/>
      <c r="C3" s="222"/>
      <c r="D3" s="223"/>
    </row>
    <row r="4" spans="1:4" x14ac:dyDescent="0.3">
      <c r="A4" s="124" t="s">
        <v>252</v>
      </c>
      <c r="B4" s="68">
        <v>102058</v>
      </c>
      <c r="C4" s="101" t="s">
        <v>253</v>
      </c>
      <c r="D4" s="38">
        <v>369</v>
      </c>
    </row>
    <row r="5" spans="1:4" x14ac:dyDescent="0.3">
      <c r="A5" s="124" t="s">
        <v>252</v>
      </c>
      <c r="B5" s="68">
        <v>101880</v>
      </c>
      <c r="C5" s="101" t="s">
        <v>254</v>
      </c>
      <c r="D5" s="38">
        <v>144</v>
      </c>
    </row>
    <row r="6" spans="1:4" x14ac:dyDescent="0.3">
      <c r="A6" s="124" t="s">
        <v>252</v>
      </c>
      <c r="B6" s="68">
        <v>102428</v>
      </c>
      <c r="C6" s="101" t="s">
        <v>255</v>
      </c>
      <c r="D6" s="38">
        <v>37</v>
      </c>
    </row>
    <row r="7" spans="1:4" x14ac:dyDescent="0.3">
      <c r="A7" s="124" t="s">
        <v>252</v>
      </c>
      <c r="B7" s="68">
        <v>100004</v>
      </c>
      <c r="C7" s="125" t="s">
        <v>256</v>
      </c>
      <c r="D7" s="38">
        <v>550</v>
      </c>
    </row>
    <row r="8" spans="1:4" x14ac:dyDescent="0.3">
      <c r="A8" s="124" t="s">
        <v>252</v>
      </c>
      <c r="B8" s="68">
        <v>24422</v>
      </c>
      <c r="C8" s="125" t="s">
        <v>257</v>
      </c>
      <c r="D8" s="38">
        <v>550</v>
      </c>
    </row>
    <row r="9" spans="1:4" x14ac:dyDescent="0.3">
      <c r="A9" s="124" t="s">
        <v>252</v>
      </c>
      <c r="B9" s="68">
        <v>102763</v>
      </c>
      <c r="C9" s="125" t="s">
        <v>258</v>
      </c>
      <c r="D9" s="38">
        <v>550</v>
      </c>
    </row>
    <row r="10" spans="1:4" x14ac:dyDescent="0.3">
      <c r="A10" s="124" t="s">
        <v>252</v>
      </c>
      <c r="B10" s="68">
        <v>100008</v>
      </c>
      <c r="C10" s="125" t="s">
        <v>259</v>
      </c>
      <c r="D10" s="38">
        <v>182</v>
      </c>
    </row>
    <row r="11" spans="1:4" x14ac:dyDescent="0.3">
      <c r="A11" s="220" t="s">
        <v>260</v>
      </c>
      <c r="B11" s="220"/>
      <c r="C11" s="220"/>
      <c r="D11" s="220"/>
    </row>
    <row r="12" spans="1:4" x14ac:dyDescent="0.3">
      <c r="A12" s="124" t="s">
        <v>252</v>
      </c>
      <c r="B12" s="68">
        <v>18571</v>
      </c>
      <c r="C12" s="101" t="s">
        <v>261</v>
      </c>
      <c r="D12" s="38">
        <v>550</v>
      </c>
    </row>
    <row r="13" spans="1:4" x14ac:dyDescent="0.3">
      <c r="A13" s="124" t="s">
        <v>252</v>
      </c>
      <c r="B13" s="68">
        <v>17390</v>
      </c>
      <c r="C13" s="101" t="s">
        <v>262</v>
      </c>
      <c r="D13" s="38">
        <v>68</v>
      </c>
    </row>
    <row r="14" spans="1:4" x14ac:dyDescent="0.3">
      <c r="A14" s="124" t="s">
        <v>252</v>
      </c>
      <c r="B14" s="68">
        <v>19953</v>
      </c>
      <c r="C14" s="101" t="s">
        <v>263</v>
      </c>
      <c r="D14" s="38">
        <v>19</v>
      </c>
    </row>
    <row r="15" spans="1:4" x14ac:dyDescent="0.3">
      <c r="A15" s="124" t="s">
        <v>252</v>
      </c>
      <c r="B15" s="68">
        <v>19954</v>
      </c>
      <c r="C15" s="101" t="s">
        <v>264</v>
      </c>
      <c r="D15" s="38">
        <v>56</v>
      </c>
    </row>
    <row r="16" spans="1:4" x14ac:dyDescent="0.3">
      <c r="A16" s="124" t="s">
        <v>252</v>
      </c>
      <c r="B16" s="68">
        <v>19956</v>
      </c>
      <c r="C16" s="101" t="s">
        <v>265</v>
      </c>
      <c r="D16" s="38">
        <v>27</v>
      </c>
    </row>
    <row r="17" spans="1:6" x14ac:dyDescent="0.3">
      <c r="A17" s="124" t="s">
        <v>252</v>
      </c>
      <c r="B17" s="68">
        <v>19957</v>
      </c>
      <c r="C17" s="101" t="s">
        <v>266</v>
      </c>
      <c r="D17" s="38">
        <v>92</v>
      </c>
    </row>
    <row r="18" spans="1:6" x14ac:dyDescent="0.3">
      <c r="A18" s="124" t="s">
        <v>252</v>
      </c>
      <c r="B18" s="68">
        <v>19958</v>
      </c>
      <c r="C18" s="101" t="s">
        <v>267</v>
      </c>
      <c r="D18" s="38">
        <v>10</v>
      </c>
    </row>
    <row r="19" spans="1:6" x14ac:dyDescent="0.3">
      <c r="A19" s="124" t="s">
        <v>252</v>
      </c>
      <c r="B19" s="68">
        <v>20864</v>
      </c>
      <c r="C19" s="101" t="s">
        <v>268</v>
      </c>
      <c r="D19" s="38">
        <v>244</v>
      </c>
    </row>
    <row r="20" spans="1:6" x14ac:dyDescent="0.3">
      <c r="A20" s="124" t="s">
        <v>252</v>
      </c>
      <c r="B20" s="68">
        <v>21441</v>
      </c>
      <c r="C20" s="101" t="s">
        <v>269</v>
      </c>
      <c r="D20" s="38">
        <v>244</v>
      </c>
    </row>
    <row r="21" spans="1:6" x14ac:dyDescent="0.3">
      <c r="A21" s="124" t="s">
        <v>252</v>
      </c>
      <c r="B21" s="68">
        <v>19949</v>
      </c>
      <c r="C21" s="101" t="s">
        <v>270</v>
      </c>
      <c r="D21" s="38">
        <v>61</v>
      </c>
    </row>
    <row r="22" spans="1:6" x14ac:dyDescent="0.3">
      <c r="A22" s="124" t="s">
        <v>252</v>
      </c>
      <c r="B22" s="68">
        <v>23152</v>
      </c>
      <c r="C22" s="101" t="s">
        <v>271</v>
      </c>
      <c r="D22" s="38">
        <v>42</v>
      </c>
    </row>
    <row r="23" spans="1:6" x14ac:dyDescent="0.3">
      <c r="A23" s="124" t="s">
        <v>252</v>
      </c>
      <c r="B23" s="68">
        <v>26534</v>
      </c>
      <c r="C23" s="101" t="s">
        <v>272</v>
      </c>
      <c r="D23" s="38">
        <v>550</v>
      </c>
    </row>
    <row r="24" spans="1:6" x14ac:dyDescent="0.3">
      <c r="A24" s="124" t="s">
        <v>252</v>
      </c>
      <c r="B24" s="68">
        <v>26795</v>
      </c>
      <c r="C24" s="101" t="s">
        <v>273</v>
      </c>
      <c r="D24" s="38">
        <v>12</v>
      </c>
    </row>
    <row r="25" spans="1:6" x14ac:dyDescent="0.3">
      <c r="A25" s="220" t="s">
        <v>274</v>
      </c>
      <c r="B25" s="220"/>
      <c r="C25" s="220"/>
      <c r="D25" s="220"/>
    </row>
    <row r="26" spans="1:6" x14ac:dyDescent="0.3">
      <c r="A26" s="127" t="s">
        <v>252</v>
      </c>
      <c r="B26" s="115">
        <v>100002</v>
      </c>
      <c r="C26" s="128" t="s">
        <v>275</v>
      </c>
      <c r="D26" s="129">
        <v>22</v>
      </c>
    </row>
    <row r="27" spans="1:6" x14ac:dyDescent="0.3">
      <c r="A27" s="124" t="s">
        <v>252</v>
      </c>
      <c r="B27" s="68">
        <v>101416</v>
      </c>
      <c r="C27" s="101" t="s">
        <v>276</v>
      </c>
      <c r="D27" s="38"/>
    </row>
    <row r="28" spans="1:6" x14ac:dyDescent="0.3">
      <c r="A28" s="124" t="s">
        <v>252</v>
      </c>
      <c r="B28" s="68">
        <v>101872</v>
      </c>
      <c r="C28" s="101" t="s">
        <v>277</v>
      </c>
      <c r="D28" s="38"/>
    </row>
    <row r="29" spans="1:6" x14ac:dyDescent="0.3">
      <c r="A29" s="124" t="s">
        <v>252</v>
      </c>
      <c r="B29" s="68">
        <v>101194</v>
      </c>
      <c r="C29" s="101" t="s">
        <v>278</v>
      </c>
      <c r="D29" s="38"/>
    </row>
    <row r="30" spans="1:6" x14ac:dyDescent="0.3">
      <c r="A30" s="220" t="s">
        <v>279</v>
      </c>
      <c r="B30" s="220"/>
      <c r="C30" s="220"/>
      <c r="D30" s="220"/>
    </row>
    <row r="31" spans="1:6" x14ac:dyDescent="0.3">
      <c r="A31" s="124" t="s">
        <v>252</v>
      </c>
      <c r="B31" s="68">
        <v>100052</v>
      </c>
      <c r="C31" s="125" t="s">
        <v>280</v>
      </c>
      <c r="D31" s="38">
        <v>315</v>
      </c>
    </row>
    <row r="32" spans="1:6" x14ac:dyDescent="0.3">
      <c r="A32" s="124" t="s">
        <v>252</v>
      </c>
      <c r="B32" s="68">
        <v>101951</v>
      </c>
      <c r="C32" s="125" t="s">
        <v>281</v>
      </c>
      <c r="D32" s="38">
        <v>16</v>
      </c>
      <c r="E32" s="65">
        <v>102640</v>
      </c>
      <c r="F32" s="65" t="s">
        <v>312</v>
      </c>
    </row>
    <row r="33" spans="1:6" x14ac:dyDescent="0.3">
      <c r="A33" s="124" t="s">
        <v>252</v>
      </c>
      <c r="B33" s="68">
        <v>101919</v>
      </c>
      <c r="C33" s="101" t="s">
        <v>282</v>
      </c>
      <c r="D33" s="38">
        <v>11</v>
      </c>
      <c r="E33" s="65">
        <v>102642</v>
      </c>
      <c r="F33" s="65" t="s">
        <v>312</v>
      </c>
    </row>
    <row r="34" spans="1:6" x14ac:dyDescent="0.3">
      <c r="A34" s="220" t="s">
        <v>283</v>
      </c>
      <c r="B34" s="220"/>
      <c r="C34" s="220"/>
      <c r="D34" s="220"/>
    </row>
    <row r="35" spans="1:6" hidden="1" x14ac:dyDescent="0.3">
      <c r="A35" s="124" t="s">
        <v>252</v>
      </c>
      <c r="B35" s="68">
        <v>102901</v>
      </c>
      <c r="C35" s="101" t="s">
        <v>284</v>
      </c>
      <c r="D35" s="16"/>
    </row>
    <row r="36" spans="1:6" x14ac:dyDescent="0.3">
      <c r="A36" s="124" t="s">
        <v>252</v>
      </c>
      <c r="B36" s="68">
        <v>102900</v>
      </c>
      <c r="C36" s="101" t="s">
        <v>285</v>
      </c>
      <c r="D36" s="16">
        <v>28</v>
      </c>
      <c r="E36" s="138"/>
    </row>
    <row r="37" spans="1:6" x14ac:dyDescent="0.3">
      <c r="A37" s="127" t="s">
        <v>252</v>
      </c>
      <c r="B37" s="115">
        <v>102902</v>
      </c>
      <c r="C37" s="128" t="s">
        <v>286</v>
      </c>
      <c r="D37" s="130">
        <v>56</v>
      </c>
    </row>
    <row r="38" spans="1:6" hidden="1" x14ac:dyDescent="0.3">
      <c r="A38" s="124" t="s">
        <v>252</v>
      </c>
      <c r="B38" s="68">
        <v>102645</v>
      </c>
      <c r="C38" s="101" t="s">
        <v>287</v>
      </c>
      <c r="D38" s="16"/>
    </row>
    <row r="39" spans="1:6" hidden="1" x14ac:dyDescent="0.3">
      <c r="A39" s="124" t="s">
        <v>252</v>
      </c>
      <c r="B39" s="68">
        <v>102250</v>
      </c>
      <c r="C39" s="101" t="s">
        <v>288</v>
      </c>
      <c r="D39" s="16"/>
    </row>
    <row r="40" spans="1:6" hidden="1" x14ac:dyDescent="0.3">
      <c r="A40" s="124" t="s">
        <v>252</v>
      </c>
      <c r="B40" s="68">
        <v>102252</v>
      </c>
      <c r="C40" s="101" t="s">
        <v>289</v>
      </c>
      <c r="D40" s="16"/>
    </row>
    <row r="41" spans="1:6" hidden="1" x14ac:dyDescent="0.3">
      <c r="A41" s="124" t="s">
        <v>252</v>
      </c>
      <c r="B41" s="68" t="s">
        <v>290</v>
      </c>
      <c r="C41" s="101" t="s">
        <v>291</v>
      </c>
      <c r="D41" s="16"/>
    </row>
    <row r="42" spans="1:6" x14ac:dyDescent="0.3">
      <c r="A42" s="220" t="s">
        <v>292</v>
      </c>
      <c r="B42" s="220"/>
      <c r="C42" s="220"/>
      <c r="D42" s="220"/>
    </row>
    <row r="43" spans="1:6" x14ac:dyDescent="0.3">
      <c r="A43" s="124" t="s">
        <v>252</v>
      </c>
      <c r="B43" s="68">
        <v>102503</v>
      </c>
      <c r="C43" s="125" t="s">
        <v>293</v>
      </c>
      <c r="D43" s="16">
        <v>93</v>
      </c>
    </row>
    <row r="44" spans="1:6" hidden="1" x14ac:dyDescent="0.3">
      <c r="A44" s="124" t="s">
        <v>252</v>
      </c>
      <c r="B44" s="68">
        <v>101958</v>
      </c>
      <c r="C44" s="101" t="s">
        <v>294</v>
      </c>
      <c r="D44" s="16"/>
    </row>
    <row r="45" spans="1:6" x14ac:dyDescent="0.3">
      <c r="A45" s="124" t="s">
        <v>252</v>
      </c>
      <c r="B45" s="68">
        <v>102474</v>
      </c>
      <c r="C45" s="101" t="s">
        <v>295</v>
      </c>
      <c r="D45" s="16">
        <v>624</v>
      </c>
    </row>
    <row r="46" spans="1:6" x14ac:dyDescent="0.3">
      <c r="A46" s="124" t="s">
        <v>252</v>
      </c>
      <c r="B46" s="68">
        <v>18060</v>
      </c>
      <c r="C46" s="125" t="s">
        <v>296</v>
      </c>
      <c r="D46" s="16">
        <v>408</v>
      </c>
    </row>
    <row r="47" spans="1:6" x14ac:dyDescent="0.3">
      <c r="A47" s="124" t="s">
        <v>252</v>
      </c>
      <c r="B47" s="68">
        <v>101350</v>
      </c>
      <c r="C47" s="126" t="s">
        <v>297</v>
      </c>
      <c r="D47" s="16">
        <v>46</v>
      </c>
    </row>
    <row r="48" spans="1:6" x14ac:dyDescent="0.3">
      <c r="A48" s="220" t="s">
        <v>298</v>
      </c>
      <c r="B48" s="220"/>
      <c r="C48" s="220"/>
      <c r="D48" s="220"/>
    </row>
    <row r="49" spans="1:7" x14ac:dyDescent="0.3">
      <c r="A49" s="101" t="s">
        <v>252</v>
      </c>
      <c r="B49" s="68">
        <v>110911</v>
      </c>
      <c r="C49" s="101" t="s">
        <v>299</v>
      </c>
      <c r="D49" s="16">
        <v>1</v>
      </c>
    </row>
    <row r="56" spans="1:7" ht="27.6" x14ac:dyDescent="0.3">
      <c r="A56" s="65">
        <v>1</v>
      </c>
      <c r="B56" s="135" t="s">
        <v>301</v>
      </c>
      <c r="C56" s="136" t="s">
        <v>302</v>
      </c>
      <c r="D56" s="136">
        <v>110860</v>
      </c>
      <c r="E56" s="65" t="s">
        <v>306</v>
      </c>
      <c r="G56" s="139" t="s">
        <v>313</v>
      </c>
    </row>
    <row r="57" spans="1:7" ht="55.2" x14ac:dyDescent="0.3">
      <c r="B57" s="135" t="s">
        <v>303</v>
      </c>
      <c r="C57" s="136" t="s">
        <v>304</v>
      </c>
      <c r="D57" s="136">
        <v>21807</v>
      </c>
      <c r="E57" s="65" t="s">
        <v>307</v>
      </c>
    </row>
    <row r="58" spans="1:7" ht="110.4" x14ac:dyDescent="0.3">
      <c r="B58" s="135" t="s">
        <v>305</v>
      </c>
      <c r="C58" s="136" t="s">
        <v>304</v>
      </c>
      <c r="D58" s="136">
        <v>16487</v>
      </c>
      <c r="E58" s="65" t="s">
        <v>308</v>
      </c>
    </row>
    <row r="59" spans="1:7" ht="27.6" x14ac:dyDescent="0.3">
      <c r="B59" s="135" t="s">
        <v>300</v>
      </c>
      <c r="C59" s="137"/>
      <c r="D59" s="136">
        <v>20632</v>
      </c>
      <c r="E59" s="65" t="s">
        <v>309</v>
      </c>
    </row>
    <row r="60" spans="1:7" ht="41.4" x14ac:dyDescent="0.3">
      <c r="B60" s="135" t="s">
        <v>310</v>
      </c>
      <c r="C60" s="136" t="s">
        <v>302</v>
      </c>
      <c r="D60" s="136">
        <v>110861</v>
      </c>
      <c r="E60" s="65" t="s">
        <v>311</v>
      </c>
    </row>
    <row r="70" spans="13:16" x14ac:dyDescent="0.3">
      <c r="M70" s="131"/>
      <c r="N70" s="132"/>
      <c r="O70" s="133"/>
      <c r="P70" s="134"/>
    </row>
    <row r="71" spans="13:16" x14ac:dyDescent="0.3">
      <c r="M71" s="131"/>
      <c r="N71" s="132"/>
      <c r="O71" s="133"/>
      <c r="P71" s="134"/>
    </row>
    <row r="72" spans="13:16" x14ac:dyDescent="0.3">
      <c r="M72" s="131"/>
      <c r="N72" s="132"/>
      <c r="O72" s="133"/>
      <c r="P72" s="134"/>
    </row>
  </sheetData>
  <mergeCells count="7">
    <mergeCell ref="A48:D48"/>
    <mergeCell ref="A3:D3"/>
    <mergeCell ref="A11:D11"/>
    <mergeCell ref="A25:D25"/>
    <mergeCell ref="A30:D30"/>
    <mergeCell ref="A34:D34"/>
    <mergeCell ref="A42:D42"/>
  </mergeCells>
  <pageMargins left="0.70866141732283472" right="0.70866141732283472" top="0.74803149606299213" bottom="0.74803149606299213" header="0.31496062992125984" footer="0.31496062992125984"/>
  <pageSetup paperSize="9" scale="57" orientation="portrait" r:id="rId1"/>
  <headerFooter>
    <oddFooter>&amp;LFormat ref.- FSTI/BD/QSF/BPS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71C83-6DBA-4BA8-A612-DBAB2013365D}">
  <dimension ref="E2:W28"/>
  <sheetViews>
    <sheetView topLeftCell="E1" zoomScale="96" workbookViewId="0">
      <selection activeCell="R3" sqref="R3:S3"/>
    </sheetView>
  </sheetViews>
  <sheetFormatPr defaultRowHeight="14.4" x14ac:dyDescent="0.3"/>
  <cols>
    <col min="5" max="5" width="20.88671875" bestFit="1" customWidth="1"/>
    <col min="6" max="6" width="12.5546875" customWidth="1"/>
    <col min="14" max="14" width="21.6640625" style="6" bestFit="1" customWidth="1"/>
    <col min="15" max="15" width="16" customWidth="1"/>
    <col min="16" max="16" width="11.33203125" customWidth="1"/>
    <col min="22" max="22" width="9.88671875" customWidth="1"/>
  </cols>
  <sheetData>
    <row r="2" spans="5:23" x14ac:dyDescent="0.3">
      <c r="H2" s="228" t="s">
        <v>320</v>
      </c>
      <c r="I2" s="228"/>
      <c r="J2" s="228"/>
      <c r="K2" s="228"/>
      <c r="R2" s="228" t="s">
        <v>321</v>
      </c>
      <c r="S2" s="228"/>
      <c r="T2" s="228"/>
      <c r="U2" s="228"/>
    </row>
    <row r="3" spans="5:23" x14ac:dyDescent="0.3">
      <c r="F3" s="8"/>
      <c r="G3" s="169" t="s">
        <v>214</v>
      </c>
      <c r="H3" s="169"/>
      <c r="I3" s="169" t="s">
        <v>215</v>
      </c>
      <c r="J3" s="169"/>
      <c r="K3" s="169" t="s">
        <v>216</v>
      </c>
      <c r="L3" s="169"/>
      <c r="M3" s="8"/>
      <c r="N3" s="204"/>
      <c r="O3" s="204"/>
      <c r="P3" s="169" t="s">
        <v>214</v>
      </c>
      <c r="Q3" s="169"/>
      <c r="R3" s="169" t="s">
        <v>215</v>
      </c>
      <c r="S3" s="169"/>
      <c r="T3" s="227" t="s">
        <v>217</v>
      </c>
      <c r="U3" s="227"/>
      <c r="V3" s="227" t="s">
        <v>218</v>
      </c>
      <c r="W3" s="227"/>
    </row>
    <row r="4" spans="5:23" x14ac:dyDescent="0.3">
      <c r="F4" s="8"/>
      <c r="G4" s="68" t="s">
        <v>219</v>
      </c>
      <c r="H4" s="68" t="s">
        <v>220</v>
      </c>
      <c r="I4" s="68" t="s">
        <v>219</v>
      </c>
      <c r="J4" s="68" t="s">
        <v>220</v>
      </c>
      <c r="K4" s="68" t="s">
        <v>219</v>
      </c>
      <c r="L4" s="68" t="s">
        <v>220</v>
      </c>
      <c r="M4" s="8"/>
      <c r="O4" s="8"/>
      <c r="P4" s="68" t="s">
        <v>219</v>
      </c>
      <c r="Q4" s="68" t="s">
        <v>220</v>
      </c>
      <c r="R4" s="68" t="s">
        <v>219</v>
      </c>
      <c r="S4" s="68" t="s">
        <v>220</v>
      </c>
      <c r="T4" s="68" t="s">
        <v>219</v>
      </c>
      <c r="U4" s="68" t="s">
        <v>220</v>
      </c>
      <c r="V4" s="68" t="s">
        <v>219</v>
      </c>
      <c r="W4" s="68" t="s">
        <v>220</v>
      </c>
    </row>
    <row r="5" spans="5:23" x14ac:dyDescent="0.3">
      <c r="F5" s="115" t="s">
        <v>221</v>
      </c>
      <c r="G5" s="68">
        <v>17</v>
      </c>
      <c r="H5" s="68">
        <v>13</v>
      </c>
      <c r="I5" s="68">
        <v>14</v>
      </c>
      <c r="J5" s="68">
        <v>12</v>
      </c>
      <c r="K5" s="68">
        <f t="shared" ref="K5:L14" si="0">G5+I5</f>
        <v>31</v>
      </c>
      <c r="L5" s="68">
        <f t="shared" si="0"/>
        <v>25</v>
      </c>
      <c r="M5" s="8"/>
      <c r="N5" s="211" t="s">
        <v>222</v>
      </c>
      <c r="O5" s="108" t="s">
        <v>223</v>
      </c>
      <c r="P5" s="68">
        <v>1</v>
      </c>
      <c r="Q5" s="68">
        <v>1</v>
      </c>
      <c r="R5" s="68">
        <v>1</v>
      </c>
      <c r="S5" s="68">
        <v>0</v>
      </c>
      <c r="T5" s="68">
        <f>P5+R5</f>
        <v>2</v>
      </c>
      <c r="U5" s="68">
        <f>Q5+S5</f>
        <v>1</v>
      </c>
      <c r="V5" s="68">
        <f>T5</f>
        <v>2</v>
      </c>
      <c r="W5" s="68">
        <f>U5</f>
        <v>1</v>
      </c>
    </row>
    <row r="6" spans="5:23" x14ac:dyDescent="0.3">
      <c r="F6" s="115" t="s">
        <v>224</v>
      </c>
      <c r="G6" s="68">
        <v>16</v>
      </c>
      <c r="H6" s="68">
        <v>13</v>
      </c>
      <c r="I6" s="68">
        <v>14</v>
      </c>
      <c r="J6" s="68">
        <v>12</v>
      </c>
      <c r="K6" s="68">
        <f t="shared" si="0"/>
        <v>30</v>
      </c>
      <c r="L6" s="68">
        <f t="shared" si="0"/>
        <v>25</v>
      </c>
      <c r="M6" s="8"/>
      <c r="N6" s="211"/>
      <c r="O6" s="108" t="s">
        <v>225</v>
      </c>
      <c r="P6" s="68">
        <v>6</v>
      </c>
      <c r="Q6" s="68">
        <v>6</v>
      </c>
      <c r="R6" s="68">
        <v>6</v>
      </c>
      <c r="S6" s="68">
        <v>6</v>
      </c>
      <c r="T6" s="68">
        <f t="shared" ref="T6:U14" si="1">P6+R6</f>
        <v>12</v>
      </c>
      <c r="U6" s="68">
        <f t="shared" si="1"/>
        <v>12</v>
      </c>
      <c r="V6" s="68">
        <f t="shared" ref="V6:W14" si="2">T6</f>
        <v>12</v>
      </c>
      <c r="W6" s="68">
        <f t="shared" si="2"/>
        <v>12</v>
      </c>
    </row>
    <row r="7" spans="5:23" x14ac:dyDescent="0.3">
      <c r="F7" s="115" t="s">
        <v>226</v>
      </c>
      <c r="G7" s="68">
        <v>22</v>
      </c>
      <c r="H7" s="68">
        <v>17</v>
      </c>
      <c r="I7" s="68">
        <v>17</v>
      </c>
      <c r="J7" s="68">
        <v>14</v>
      </c>
      <c r="K7" s="68">
        <f t="shared" si="0"/>
        <v>39</v>
      </c>
      <c r="L7" s="68">
        <f t="shared" si="0"/>
        <v>31</v>
      </c>
      <c r="M7" s="8"/>
      <c r="N7" s="211"/>
      <c r="O7" s="101" t="s">
        <v>227</v>
      </c>
      <c r="P7" s="68">
        <v>1</v>
      </c>
      <c r="Q7" s="68">
        <v>0</v>
      </c>
      <c r="R7" s="68">
        <v>1</v>
      </c>
      <c r="S7" s="68">
        <v>1</v>
      </c>
      <c r="T7" s="68">
        <f t="shared" si="1"/>
        <v>2</v>
      </c>
      <c r="U7" s="68">
        <f t="shared" si="1"/>
        <v>1</v>
      </c>
      <c r="V7" s="68">
        <f t="shared" si="2"/>
        <v>2</v>
      </c>
      <c r="W7" s="68">
        <f t="shared" si="2"/>
        <v>1</v>
      </c>
    </row>
    <row r="8" spans="5:23" x14ac:dyDescent="0.3">
      <c r="F8" s="115" t="s">
        <v>228</v>
      </c>
      <c r="G8" s="68">
        <v>16</v>
      </c>
      <c r="H8" s="68">
        <v>13</v>
      </c>
      <c r="I8" s="68">
        <v>14</v>
      </c>
      <c r="J8" s="68">
        <v>12</v>
      </c>
      <c r="K8" s="68">
        <f t="shared" si="0"/>
        <v>30</v>
      </c>
      <c r="L8" s="68">
        <f t="shared" si="0"/>
        <v>25</v>
      </c>
      <c r="M8" s="8"/>
      <c r="N8" s="211" t="s">
        <v>229</v>
      </c>
      <c r="O8" s="101" t="s">
        <v>227</v>
      </c>
      <c r="P8" s="36">
        <v>5</v>
      </c>
      <c r="Q8" s="36">
        <v>5</v>
      </c>
      <c r="R8" s="36">
        <v>1</v>
      </c>
      <c r="S8" s="36">
        <v>0</v>
      </c>
      <c r="T8" s="68">
        <f t="shared" si="1"/>
        <v>6</v>
      </c>
      <c r="U8" s="68">
        <f t="shared" si="1"/>
        <v>5</v>
      </c>
      <c r="V8" s="68">
        <f t="shared" si="2"/>
        <v>6</v>
      </c>
      <c r="W8" s="68">
        <f t="shared" si="2"/>
        <v>5</v>
      </c>
    </row>
    <row r="9" spans="5:23" x14ac:dyDescent="0.3">
      <c r="F9" s="115" t="s">
        <v>230</v>
      </c>
      <c r="G9" s="68">
        <v>23</v>
      </c>
      <c r="H9" s="68">
        <v>18</v>
      </c>
      <c r="I9" s="68">
        <v>16</v>
      </c>
      <c r="J9" s="68">
        <v>13</v>
      </c>
      <c r="K9" s="68">
        <f t="shared" si="0"/>
        <v>39</v>
      </c>
      <c r="L9" s="68">
        <f t="shared" si="0"/>
        <v>31</v>
      </c>
      <c r="M9" s="8"/>
      <c r="N9" s="211"/>
      <c r="O9" s="16" t="s">
        <v>231</v>
      </c>
      <c r="P9" s="36">
        <v>1</v>
      </c>
      <c r="Q9" s="36">
        <v>0</v>
      </c>
      <c r="R9" s="36">
        <v>5</v>
      </c>
      <c r="S9" s="36">
        <v>5</v>
      </c>
      <c r="T9" s="68">
        <f t="shared" si="1"/>
        <v>6</v>
      </c>
      <c r="U9" s="68">
        <f t="shared" si="1"/>
        <v>5</v>
      </c>
      <c r="V9" s="68">
        <f t="shared" si="2"/>
        <v>6</v>
      </c>
      <c r="W9" s="68">
        <f t="shared" si="2"/>
        <v>5</v>
      </c>
    </row>
    <row r="10" spans="5:23" x14ac:dyDescent="0.3">
      <c r="F10" s="115" t="s">
        <v>232</v>
      </c>
      <c r="G10" s="68">
        <v>17</v>
      </c>
      <c r="H10" s="68">
        <v>13</v>
      </c>
      <c r="I10" s="68">
        <v>14</v>
      </c>
      <c r="J10" s="68">
        <v>12</v>
      </c>
      <c r="K10" s="68">
        <f t="shared" si="0"/>
        <v>31</v>
      </c>
      <c r="L10" s="68">
        <f t="shared" si="0"/>
        <v>25</v>
      </c>
      <c r="M10" s="8"/>
      <c r="N10" s="211" t="s">
        <v>233</v>
      </c>
      <c r="O10" s="16" t="s">
        <v>231</v>
      </c>
      <c r="P10" s="36">
        <v>1</v>
      </c>
      <c r="Q10" s="36">
        <v>1</v>
      </c>
      <c r="R10" s="36">
        <v>1</v>
      </c>
      <c r="S10" s="36">
        <v>0</v>
      </c>
      <c r="T10" s="68">
        <f t="shared" si="1"/>
        <v>2</v>
      </c>
      <c r="U10" s="68">
        <f t="shared" si="1"/>
        <v>1</v>
      </c>
      <c r="V10" s="68">
        <f t="shared" si="2"/>
        <v>2</v>
      </c>
      <c r="W10" s="68">
        <f t="shared" si="2"/>
        <v>1</v>
      </c>
    </row>
    <row r="11" spans="5:23" x14ac:dyDescent="0.3">
      <c r="F11" s="115" t="s">
        <v>234</v>
      </c>
      <c r="G11" s="68">
        <v>22</v>
      </c>
      <c r="H11" s="68">
        <v>16</v>
      </c>
      <c r="I11" s="68">
        <v>29</v>
      </c>
      <c r="J11" s="68">
        <v>24</v>
      </c>
      <c r="K11" s="68">
        <f t="shared" si="0"/>
        <v>51</v>
      </c>
      <c r="L11" s="68">
        <f t="shared" si="0"/>
        <v>40</v>
      </c>
      <c r="M11" s="8"/>
      <c r="N11" s="211"/>
      <c r="O11" s="16" t="s">
        <v>235</v>
      </c>
      <c r="P11" s="36">
        <v>10</v>
      </c>
      <c r="Q11" s="36">
        <v>10</v>
      </c>
      <c r="R11" s="36">
        <v>10</v>
      </c>
      <c r="S11" s="36">
        <v>10</v>
      </c>
      <c r="T11" s="68">
        <f t="shared" si="1"/>
        <v>20</v>
      </c>
      <c r="U11" s="68">
        <f t="shared" si="1"/>
        <v>20</v>
      </c>
      <c r="V11" s="68">
        <f t="shared" si="2"/>
        <v>20</v>
      </c>
      <c r="W11" s="68">
        <f t="shared" si="2"/>
        <v>20</v>
      </c>
    </row>
    <row r="12" spans="5:23" x14ac:dyDescent="0.3">
      <c r="F12" s="68" t="s">
        <v>236</v>
      </c>
      <c r="G12" s="68">
        <v>21</v>
      </c>
      <c r="H12" s="68">
        <v>16</v>
      </c>
      <c r="I12" s="68">
        <v>27</v>
      </c>
      <c r="J12" s="68">
        <v>22</v>
      </c>
      <c r="K12" s="68">
        <f t="shared" si="0"/>
        <v>48</v>
      </c>
      <c r="L12" s="68">
        <f t="shared" si="0"/>
        <v>38</v>
      </c>
      <c r="M12" s="8"/>
      <c r="N12" s="211"/>
      <c r="O12" s="16" t="s">
        <v>237</v>
      </c>
      <c r="P12" s="36">
        <v>10</v>
      </c>
      <c r="Q12" s="36">
        <v>10</v>
      </c>
      <c r="R12" s="36">
        <v>10</v>
      </c>
      <c r="S12" s="36">
        <v>10</v>
      </c>
      <c r="T12" s="68">
        <f t="shared" si="1"/>
        <v>20</v>
      </c>
      <c r="U12" s="68">
        <f t="shared" si="1"/>
        <v>20</v>
      </c>
      <c r="V12" s="68">
        <f t="shared" si="2"/>
        <v>20</v>
      </c>
      <c r="W12" s="68">
        <f t="shared" si="2"/>
        <v>20</v>
      </c>
    </row>
    <row r="13" spans="5:23" x14ac:dyDescent="0.3">
      <c r="E13" s="112" t="s">
        <v>238</v>
      </c>
      <c r="F13" s="116" t="s">
        <v>239</v>
      </c>
      <c r="G13" s="116">
        <v>16</v>
      </c>
      <c r="H13" s="116">
        <v>13</v>
      </c>
      <c r="I13" s="116">
        <v>14</v>
      </c>
      <c r="J13" s="116">
        <v>12</v>
      </c>
      <c r="K13" s="116">
        <f t="shared" si="0"/>
        <v>30</v>
      </c>
      <c r="L13" s="116">
        <f t="shared" si="0"/>
        <v>25</v>
      </c>
      <c r="M13" s="8"/>
      <c r="N13" s="211"/>
      <c r="O13" s="16" t="s">
        <v>240</v>
      </c>
      <c r="P13" s="36">
        <v>8</v>
      </c>
      <c r="Q13" s="36">
        <v>8</v>
      </c>
      <c r="R13" s="36">
        <v>8</v>
      </c>
      <c r="S13" s="36">
        <v>8</v>
      </c>
      <c r="T13" s="68">
        <f t="shared" si="1"/>
        <v>16</v>
      </c>
      <c r="U13" s="68">
        <f t="shared" si="1"/>
        <v>16</v>
      </c>
      <c r="V13" s="68">
        <f t="shared" si="2"/>
        <v>16</v>
      </c>
      <c r="W13" s="68">
        <f t="shared" si="2"/>
        <v>16</v>
      </c>
    </row>
    <row r="14" spans="5:23" x14ac:dyDescent="0.3">
      <c r="F14" s="68" t="s">
        <v>227</v>
      </c>
      <c r="G14" s="68">
        <v>19</v>
      </c>
      <c r="H14" s="68">
        <v>15</v>
      </c>
      <c r="I14" s="68">
        <v>26</v>
      </c>
      <c r="J14" s="68">
        <v>23</v>
      </c>
      <c r="K14" s="68">
        <f t="shared" si="0"/>
        <v>45</v>
      </c>
      <c r="L14" s="68">
        <f t="shared" si="0"/>
        <v>38</v>
      </c>
      <c r="M14" s="8"/>
      <c r="N14" s="211"/>
      <c r="O14" s="16" t="s">
        <v>239</v>
      </c>
      <c r="P14" s="36">
        <v>1</v>
      </c>
      <c r="Q14" s="36">
        <v>0</v>
      </c>
      <c r="R14" s="36">
        <v>1</v>
      </c>
      <c r="S14" s="36">
        <v>1</v>
      </c>
      <c r="T14" s="68">
        <f t="shared" si="1"/>
        <v>2</v>
      </c>
      <c r="U14" s="68">
        <f t="shared" si="1"/>
        <v>1</v>
      </c>
      <c r="V14" s="68">
        <f t="shared" si="2"/>
        <v>2</v>
      </c>
      <c r="W14" s="68">
        <f t="shared" si="2"/>
        <v>1</v>
      </c>
    </row>
    <row r="15" spans="5:23" x14ac:dyDescent="0.3">
      <c r="N15" s="117"/>
      <c r="O15" s="8"/>
    </row>
    <row r="16" spans="5:23" x14ac:dyDescent="0.3">
      <c r="F16" s="8"/>
      <c r="G16" s="68">
        <f t="shared" ref="G16:J16" si="3">SUM(G5:G14)</f>
        <v>189</v>
      </c>
      <c r="H16" s="68">
        <f t="shared" si="3"/>
        <v>147</v>
      </c>
      <c r="I16" s="68">
        <f t="shared" si="3"/>
        <v>185</v>
      </c>
      <c r="J16" s="68">
        <f t="shared" si="3"/>
        <v>156</v>
      </c>
      <c r="K16" s="68">
        <f>SUM(K5:K14)</f>
        <v>374</v>
      </c>
      <c r="L16" s="68">
        <f>SUM(L5:L14)</f>
        <v>303</v>
      </c>
      <c r="N16" s="117"/>
      <c r="O16" s="8"/>
      <c r="P16" s="68">
        <f t="shared" ref="P16:W16" si="4">SUM(P5:P14)</f>
        <v>44</v>
      </c>
      <c r="Q16" s="68">
        <f t="shared" si="4"/>
        <v>41</v>
      </c>
      <c r="R16" s="68">
        <f t="shared" si="4"/>
        <v>44</v>
      </c>
      <c r="S16" s="68">
        <f t="shared" si="4"/>
        <v>41</v>
      </c>
      <c r="T16" s="68">
        <f t="shared" si="4"/>
        <v>88</v>
      </c>
      <c r="U16" s="68">
        <f t="shared" si="4"/>
        <v>82</v>
      </c>
      <c r="V16" s="68">
        <f t="shared" si="4"/>
        <v>88</v>
      </c>
      <c r="W16" s="68">
        <f t="shared" si="4"/>
        <v>82</v>
      </c>
    </row>
    <row r="17" spans="13:19" x14ac:dyDescent="0.3">
      <c r="M17" s="8"/>
    </row>
    <row r="18" spans="13:19" x14ac:dyDescent="0.3">
      <c r="M18" s="8"/>
    </row>
    <row r="19" spans="13:19" x14ac:dyDescent="0.3">
      <c r="M19" s="8"/>
      <c r="O19" s="8"/>
    </row>
    <row r="20" spans="13:19" x14ac:dyDescent="0.3">
      <c r="M20" s="8"/>
      <c r="O20" s="8"/>
    </row>
    <row r="21" spans="13:19" x14ac:dyDescent="0.3">
      <c r="M21" s="8"/>
      <c r="O21" s="8"/>
    </row>
    <row r="22" spans="13:19" x14ac:dyDescent="0.3">
      <c r="M22" s="8"/>
      <c r="N22" s="36" t="s">
        <v>241</v>
      </c>
      <c r="O22" s="68">
        <f>T16+V16</f>
        <v>176</v>
      </c>
    </row>
    <row r="23" spans="13:19" x14ac:dyDescent="0.3">
      <c r="M23" s="8"/>
      <c r="N23" s="36" t="s">
        <v>242</v>
      </c>
      <c r="O23" s="68">
        <f>U16+W16</f>
        <v>164</v>
      </c>
      <c r="Q23" s="118"/>
      <c r="R23" s="118"/>
      <c r="S23" s="118"/>
    </row>
    <row r="24" spans="13:19" x14ac:dyDescent="0.3">
      <c r="N24" s="36" t="s">
        <v>243</v>
      </c>
      <c r="O24" s="68">
        <f>K16</f>
        <v>374</v>
      </c>
    </row>
    <row r="25" spans="13:19" x14ac:dyDescent="0.3">
      <c r="N25" s="36" t="s">
        <v>244</v>
      </c>
      <c r="O25" s="68">
        <f>L16</f>
        <v>303</v>
      </c>
    </row>
    <row r="26" spans="13:19" x14ac:dyDescent="0.3">
      <c r="N26" s="36" t="s">
        <v>245</v>
      </c>
      <c r="O26" s="68">
        <f>O24+O22</f>
        <v>550</v>
      </c>
    </row>
    <row r="27" spans="13:19" x14ac:dyDescent="0.3">
      <c r="N27" s="36" t="s">
        <v>246</v>
      </c>
      <c r="O27" s="68">
        <f>O25+O23</f>
        <v>467</v>
      </c>
    </row>
    <row r="28" spans="13:19" x14ac:dyDescent="0.3">
      <c r="N28" s="6" t="s">
        <v>247</v>
      </c>
      <c r="O28">
        <v>18</v>
      </c>
    </row>
  </sheetData>
  <mergeCells count="13">
    <mergeCell ref="H2:K2"/>
    <mergeCell ref="R2:U2"/>
    <mergeCell ref="T3:U3"/>
    <mergeCell ref="V3:W3"/>
    <mergeCell ref="N5:N7"/>
    <mergeCell ref="N8:N9"/>
    <mergeCell ref="N10:N14"/>
    <mergeCell ref="R3:S3"/>
    <mergeCell ref="G3:H3"/>
    <mergeCell ref="I3:J3"/>
    <mergeCell ref="K3:L3"/>
    <mergeCell ref="N3:O3"/>
    <mergeCell ref="P3:Q3"/>
  </mergeCells>
  <pageMargins left="0.70866141732283472" right="0.70866141732283472" top="0.74803149606299213" bottom="0.74803149606299213" header="0.31496062992125984" footer="0.31496062992125984"/>
  <pageSetup paperSize="9" scale="57" orientation="portrait" r:id="rId1"/>
  <headerFooter>
    <oddFooter>&amp;LFormat ref.- FSTI/BD/QSF/BPS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A710-54AF-4B0F-84D8-2A9CE5A06812}">
  <dimension ref="A1:G43"/>
  <sheetViews>
    <sheetView topLeftCell="A13" workbookViewId="0">
      <selection activeCell="F19" sqref="F19"/>
    </sheetView>
  </sheetViews>
  <sheetFormatPr defaultColWidth="9.109375" defaultRowHeight="14.4" x14ac:dyDescent="0.3"/>
  <cols>
    <col min="1" max="1" width="9.109375" style="140"/>
    <col min="2" max="2" width="10.5546875" style="140" customWidth="1"/>
    <col min="3" max="3" width="23" style="141" customWidth="1"/>
    <col min="4" max="4" width="66.6640625" style="141" bestFit="1" customWidth="1"/>
    <col min="5" max="5" width="10.88671875" style="142" customWidth="1"/>
    <col min="6" max="6" width="8.33203125" style="142" customWidth="1"/>
    <col min="7" max="7" width="9.109375" style="143"/>
    <col min="8" max="16384" width="9.109375" style="140"/>
  </cols>
  <sheetData>
    <row r="1" spans="1:7" ht="15" thickBot="1" x14ac:dyDescent="0.35"/>
    <row r="2" spans="1:7" s="144" customFormat="1" ht="15" thickBot="1" x14ac:dyDescent="0.35">
      <c r="B2" s="145" t="s">
        <v>314</v>
      </c>
      <c r="C2" s="146" t="s">
        <v>248</v>
      </c>
      <c r="D2" s="147" t="s">
        <v>249</v>
      </c>
      <c r="E2" s="148" t="s">
        <v>315</v>
      </c>
      <c r="F2" s="149" t="s">
        <v>213</v>
      </c>
      <c r="G2" s="149" t="s">
        <v>250</v>
      </c>
    </row>
    <row r="3" spans="1:7" x14ac:dyDescent="0.3">
      <c r="A3" s="225" t="s">
        <v>316</v>
      </c>
      <c r="B3" s="150" t="s">
        <v>252</v>
      </c>
      <c r="C3" s="151">
        <v>102058</v>
      </c>
      <c r="D3" s="152" t="s">
        <v>253</v>
      </c>
      <c r="E3" s="151">
        <v>350</v>
      </c>
      <c r="F3" s="151">
        <f>'[2]Supply COST'!E4</f>
        <v>0</v>
      </c>
      <c r="G3" s="153">
        <f>Table2[[#This Row],[Main Qty]]+Table2[[#This Row],[Spare]]</f>
        <v>350</v>
      </c>
    </row>
    <row r="4" spans="1:7" x14ac:dyDescent="0.3">
      <c r="A4" s="226"/>
      <c r="B4" s="154" t="s">
        <v>252</v>
      </c>
      <c r="C4" s="155">
        <v>101880</v>
      </c>
      <c r="D4" s="156" t="s">
        <v>254</v>
      </c>
      <c r="E4" s="155">
        <v>163</v>
      </c>
      <c r="F4" s="155">
        <f>'[2]Supply COST'!E5</f>
        <v>0</v>
      </c>
      <c r="G4" s="157">
        <f>Table2[[#This Row],[Main Qty]]+Table2[[#This Row],[Spare]]</f>
        <v>163</v>
      </c>
    </row>
    <row r="5" spans="1:7" x14ac:dyDescent="0.3">
      <c r="A5" s="226"/>
      <c r="B5" s="154" t="s">
        <v>252</v>
      </c>
      <c r="C5" s="155">
        <v>102428</v>
      </c>
      <c r="D5" s="156" t="s">
        <v>255</v>
      </c>
      <c r="E5" s="155">
        <v>37</v>
      </c>
      <c r="F5" s="155">
        <f>'[2]Supply COST'!E6</f>
        <v>0</v>
      </c>
      <c r="G5" s="157">
        <f>Table2[[#This Row],[Main Qty]]+Table2[[#This Row],[Spare]]</f>
        <v>37</v>
      </c>
    </row>
    <row r="6" spans="1:7" x14ac:dyDescent="0.3">
      <c r="A6" s="226"/>
      <c r="B6" s="154" t="s">
        <v>252</v>
      </c>
      <c r="C6" s="155">
        <v>100004</v>
      </c>
      <c r="D6" s="158" t="s">
        <v>256</v>
      </c>
      <c r="E6" s="157">
        <v>550</v>
      </c>
      <c r="F6" s="157">
        <f>'[2]Supply COST'!E16</f>
        <v>0</v>
      </c>
      <c r="G6" s="157">
        <f>Table2[[#This Row],[Main Qty]]+Table2[[#This Row],[Spare]]</f>
        <v>550</v>
      </c>
    </row>
    <row r="7" spans="1:7" x14ac:dyDescent="0.3">
      <c r="A7" s="226"/>
      <c r="B7" s="154" t="s">
        <v>252</v>
      </c>
      <c r="C7" s="155">
        <v>24422</v>
      </c>
      <c r="D7" s="158" t="s">
        <v>257</v>
      </c>
      <c r="E7" s="157">
        <v>550</v>
      </c>
      <c r="F7" s="157">
        <f>'[2]Supply COST'!E17</f>
        <v>0</v>
      </c>
      <c r="G7" s="157">
        <f>Table2[[#This Row],[Main Qty]]+Table2[[#This Row],[Spare]]</f>
        <v>550</v>
      </c>
    </row>
    <row r="8" spans="1:7" x14ac:dyDescent="0.3">
      <c r="A8" s="226"/>
      <c r="B8" s="154" t="s">
        <v>252</v>
      </c>
      <c r="C8" s="155">
        <v>102763</v>
      </c>
      <c r="D8" s="158" t="s">
        <v>258</v>
      </c>
      <c r="E8" s="157">
        <v>550</v>
      </c>
      <c r="F8" s="157">
        <f>'[2]Supply COST'!E23</f>
        <v>0</v>
      </c>
      <c r="G8" s="157">
        <f>Table2[[#This Row],[Main Qty]]+Table2[[#This Row],[Spare]]</f>
        <v>550</v>
      </c>
    </row>
    <row r="9" spans="1:7" x14ac:dyDescent="0.3">
      <c r="A9" s="226"/>
      <c r="B9" s="154" t="s">
        <v>252</v>
      </c>
      <c r="C9" s="155">
        <v>100008</v>
      </c>
      <c r="D9" s="158" t="s">
        <v>259</v>
      </c>
      <c r="E9" s="157">
        <v>189</v>
      </c>
      <c r="F9" s="157">
        <f>'[2]Supply COST'!E24</f>
        <v>0</v>
      </c>
      <c r="G9" s="157">
        <f>Table2[[#This Row],[Main Qty]]+Table2[[#This Row],[Spare]]</f>
        <v>189</v>
      </c>
    </row>
    <row r="10" spans="1:7" x14ac:dyDescent="0.3">
      <c r="A10" s="224" t="s">
        <v>317</v>
      </c>
      <c r="B10" s="159" t="s">
        <v>252</v>
      </c>
      <c r="C10" s="160">
        <v>18571</v>
      </c>
      <c r="D10" s="161" t="s">
        <v>261</v>
      </c>
      <c r="E10" s="160">
        <v>550</v>
      </c>
      <c r="F10" s="160">
        <f>'[2]Supply COST'!E26</f>
        <v>0</v>
      </c>
      <c r="G10" s="162">
        <f>Table2[[#This Row],[Main Qty]]+Table2[[#This Row],[Spare]]</f>
        <v>550</v>
      </c>
    </row>
    <row r="11" spans="1:7" x14ac:dyDescent="0.3">
      <c r="A11" s="224"/>
      <c r="B11" s="159" t="s">
        <v>252</v>
      </c>
      <c r="C11" s="160">
        <v>17390</v>
      </c>
      <c r="D11" s="161" t="s">
        <v>262</v>
      </c>
      <c r="E11" s="160">
        <v>68</v>
      </c>
      <c r="F11" s="160">
        <f>'[2]Supply COST'!E27</f>
        <v>0</v>
      </c>
      <c r="G11" s="162">
        <f>Table2[[#This Row],[Main Qty]]+Table2[[#This Row],[Spare]]</f>
        <v>68</v>
      </c>
    </row>
    <row r="12" spans="1:7" hidden="1" x14ac:dyDescent="0.3">
      <c r="A12" s="224"/>
      <c r="B12" s="159" t="s">
        <v>252</v>
      </c>
      <c r="C12" s="160">
        <v>19952</v>
      </c>
      <c r="D12" s="161" t="s">
        <v>318</v>
      </c>
      <c r="E12" s="160">
        <v>0</v>
      </c>
      <c r="F12" s="160">
        <f>'[2]Supply COST'!E28</f>
        <v>0</v>
      </c>
      <c r="G12" s="162">
        <f>Table2[[#This Row],[Main Qty]]+Table2[[#This Row],[Spare]]</f>
        <v>0</v>
      </c>
    </row>
    <row r="13" spans="1:7" x14ac:dyDescent="0.3">
      <c r="A13" s="224"/>
      <c r="B13" s="159" t="s">
        <v>252</v>
      </c>
      <c r="C13" s="160">
        <v>19953</v>
      </c>
      <c r="D13" s="161" t="s">
        <v>263</v>
      </c>
      <c r="E13" s="160">
        <v>19</v>
      </c>
      <c r="F13" s="160">
        <f>'[2]Supply COST'!E29</f>
        <v>0</v>
      </c>
      <c r="G13" s="162">
        <f>Table2[[#This Row],[Main Qty]]+Table2[[#This Row],[Spare]]</f>
        <v>19</v>
      </c>
    </row>
    <row r="14" spans="1:7" x14ac:dyDescent="0.3">
      <c r="A14" s="224"/>
      <c r="B14" s="159" t="s">
        <v>252</v>
      </c>
      <c r="C14" s="160">
        <v>19954</v>
      </c>
      <c r="D14" s="161" t="s">
        <v>264</v>
      </c>
      <c r="E14" s="160">
        <v>56</v>
      </c>
      <c r="F14" s="160">
        <f>'[2]Supply COST'!E30</f>
        <v>0</v>
      </c>
      <c r="G14" s="162">
        <f>Table2[[#This Row],[Main Qty]]+Table2[[#This Row],[Spare]]</f>
        <v>56</v>
      </c>
    </row>
    <row r="15" spans="1:7" x14ac:dyDescent="0.3">
      <c r="A15" s="224"/>
      <c r="B15" s="159" t="s">
        <v>252</v>
      </c>
      <c r="C15" s="160">
        <v>19956</v>
      </c>
      <c r="D15" s="161" t="s">
        <v>265</v>
      </c>
      <c r="E15" s="160">
        <v>27</v>
      </c>
      <c r="F15" s="160">
        <f>'[2]Supply COST'!E31</f>
        <v>0</v>
      </c>
      <c r="G15" s="162">
        <f>Table2[[#This Row],[Main Qty]]+Table2[[#This Row],[Spare]]</f>
        <v>27</v>
      </c>
    </row>
    <row r="16" spans="1:7" x14ac:dyDescent="0.3">
      <c r="A16" s="224"/>
      <c r="B16" s="159" t="s">
        <v>252</v>
      </c>
      <c r="C16" s="160">
        <v>19957</v>
      </c>
      <c r="D16" s="161" t="s">
        <v>266</v>
      </c>
      <c r="E16" s="160">
        <v>92</v>
      </c>
      <c r="F16" s="160">
        <f>'[2]Supply COST'!E32</f>
        <v>0</v>
      </c>
      <c r="G16" s="162">
        <f>Table2[[#This Row],[Main Qty]]+Table2[[#This Row],[Spare]]</f>
        <v>92</v>
      </c>
    </row>
    <row r="17" spans="1:7" x14ac:dyDescent="0.3">
      <c r="A17" s="224"/>
      <c r="B17" s="159" t="s">
        <v>252</v>
      </c>
      <c r="C17" s="160">
        <v>19958</v>
      </c>
      <c r="D17" s="161" t="s">
        <v>267</v>
      </c>
      <c r="E17" s="160">
        <v>10</v>
      </c>
      <c r="F17" s="160">
        <f>'[2]Supply COST'!E33</f>
        <v>0</v>
      </c>
      <c r="G17" s="162">
        <f>Table2[[#This Row],[Main Qty]]+Table2[[#This Row],[Spare]]</f>
        <v>10</v>
      </c>
    </row>
    <row r="18" spans="1:7" x14ac:dyDescent="0.3">
      <c r="A18" s="224"/>
      <c r="B18" s="159" t="s">
        <v>252</v>
      </c>
      <c r="C18" s="160">
        <v>20864</v>
      </c>
      <c r="D18" s="161" t="s">
        <v>268</v>
      </c>
      <c r="E18" s="160">
        <v>244</v>
      </c>
      <c r="F18" s="160">
        <f>'[2]Supply COST'!E34</f>
        <v>0</v>
      </c>
      <c r="G18" s="162">
        <f>Table2[[#This Row],[Main Qty]]+Table2[[#This Row],[Spare]]</f>
        <v>244</v>
      </c>
    </row>
    <row r="19" spans="1:7" x14ac:dyDescent="0.3">
      <c r="A19" s="224"/>
      <c r="B19" s="159" t="s">
        <v>252</v>
      </c>
      <c r="C19" s="160">
        <v>21441</v>
      </c>
      <c r="D19" s="161" t="s">
        <v>269</v>
      </c>
      <c r="E19" s="160">
        <v>244</v>
      </c>
      <c r="F19" s="160">
        <f>F18</f>
        <v>0</v>
      </c>
      <c r="G19" s="162">
        <f>Table2[[#This Row],[Main Qty]]+Table2[[#This Row],[Spare]]</f>
        <v>244</v>
      </c>
    </row>
    <row r="20" spans="1:7" x14ac:dyDescent="0.3">
      <c r="A20" s="224"/>
      <c r="B20" s="159" t="s">
        <v>252</v>
      </c>
      <c r="C20" s="160">
        <v>19949</v>
      </c>
      <c r="D20" s="161" t="s">
        <v>270</v>
      </c>
      <c r="E20" s="160">
        <v>61</v>
      </c>
      <c r="F20" s="160">
        <f>'[2]Supply COST'!E36</f>
        <v>0</v>
      </c>
      <c r="G20" s="162">
        <f>Table2[[#This Row],[Main Qty]]+Table2[[#This Row],[Spare]]</f>
        <v>61</v>
      </c>
    </row>
    <row r="21" spans="1:7" x14ac:dyDescent="0.3">
      <c r="A21" s="224"/>
      <c r="B21" s="159" t="s">
        <v>252</v>
      </c>
      <c r="C21" s="160">
        <v>23152</v>
      </c>
      <c r="D21" s="161" t="s">
        <v>271</v>
      </c>
      <c r="E21" s="160">
        <v>42</v>
      </c>
      <c r="F21" s="160">
        <f>'[2]Supply COST'!E37</f>
        <v>0</v>
      </c>
      <c r="G21" s="162">
        <f>Table2[[#This Row],[Main Qty]]+Table2[[#This Row],[Spare]]</f>
        <v>42</v>
      </c>
    </row>
    <row r="22" spans="1:7" x14ac:dyDescent="0.3">
      <c r="A22" s="224"/>
      <c r="B22" s="159" t="s">
        <v>252</v>
      </c>
      <c r="C22" s="160">
        <v>26534</v>
      </c>
      <c r="D22" s="161" t="s">
        <v>272</v>
      </c>
      <c r="E22" s="160">
        <v>550</v>
      </c>
      <c r="F22" s="160">
        <f>'[2]Supply COST'!E41</f>
        <v>0</v>
      </c>
      <c r="G22" s="162">
        <f>Table2[[#This Row],[Main Qty]]+Table2[[#This Row],[Spare]]</f>
        <v>550</v>
      </c>
    </row>
    <row r="23" spans="1:7" x14ac:dyDescent="0.3">
      <c r="A23" s="224"/>
      <c r="B23" s="159" t="s">
        <v>252</v>
      </c>
      <c r="C23" s="160">
        <v>26795</v>
      </c>
      <c r="D23" s="161" t="s">
        <v>273</v>
      </c>
      <c r="E23" s="160">
        <v>12</v>
      </c>
      <c r="F23" s="160">
        <f>'[2]Supply COST'!E42</f>
        <v>0</v>
      </c>
      <c r="G23" s="162">
        <f>Table2[[#This Row],[Main Qty]]+Table2[[#This Row],[Spare]]</f>
        <v>12</v>
      </c>
    </row>
    <row r="24" spans="1:7" x14ac:dyDescent="0.3">
      <c r="A24" s="226" t="s">
        <v>274</v>
      </c>
      <c r="B24" s="154" t="s">
        <v>252</v>
      </c>
      <c r="C24" s="155">
        <v>100002</v>
      </c>
      <c r="D24" s="156" t="s">
        <v>275</v>
      </c>
      <c r="E24" s="155">
        <v>22</v>
      </c>
      <c r="F24" s="155">
        <f>'[2]Supply COST'!E45</f>
        <v>0</v>
      </c>
      <c r="G24" s="157">
        <f>Table2[[#This Row],[Main Qty]]+Table2[[#This Row],[Spare]]</f>
        <v>22</v>
      </c>
    </row>
    <row r="25" spans="1:7" hidden="1" x14ac:dyDescent="0.3">
      <c r="A25" s="226"/>
      <c r="B25" s="154" t="s">
        <v>252</v>
      </c>
      <c r="C25" s="155">
        <v>101416</v>
      </c>
      <c r="D25" s="156" t="s">
        <v>276</v>
      </c>
      <c r="E25" s="155">
        <v>0</v>
      </c>
      <c r="F25" s="155">
        <f>'[2]Supply COST'!E46</f>
        <v>0</v>
      </c>
      <c r="G25" s="157">
        <f>Table2[[#This Row],[Main Qty]]+Table2[[#This Row],[Spare]]</f>
        <v>0</v>
      </c>
    </row>
    <row r="26" spans="1:7" hidden="1" x14ac:dyDescent="0.3">
      <c r="A26" s="226"/>
      <c r="B26" s="154" t="s">
        <v>252</v>
      </c>
      <c r="C26" s="155">
        <v>101872</v>
      </c>
      <c r="D26" s="156" t="s">
        <v>277</v>
      </c>
      <c r="E26" s="155">
        <v>0</v>
      </c>
      <c r="F26" s="155">
        <f>'[2]Supply COST'!E47</f>
        <v>0</v>
      </c>
      <c r="G26" s="157">
        <f>Table2[[#This Row],[Main Qty]]+Table2[[#This Row],[Spare]]</f>
        <v>0</v>
      </c>
    </row>
    <row r="27" spans="1:7" x14ac:dyDescent="0.3">
      <c r="A27" s="226"/>
      <c r="B27" s="154" t="s">
        <v>252</v>
      </c>
      <c r="C27" s="155">
        <v>101194</v>
      </c>
      <c r="D27" s="156" t="s">
        <v>278</v>
      </c>
      <c r="E27" s="155">
        <v>2250000</v>
      </c>
      <c r="F27" s="155"/>
      <c r="G27" s="157">
        <f>Table2[[#This Row],[Main Qty]]+Table2[[#This Row],[Spare]]</f>
        <v>2250000</v>
      </c>
    </row>
    <row r="28" spans="1:7" x14ac:dyDescent="0.3">
      <c r="A28" s="224" t="s">
        <v>279</v>
      </c>
      <c r="B28" s="159" t="s">
        <v>252</v>
      </c>
      <c r="C28" s="160">
        <v>100052</v>
      </c>
      <c r="D28" s="163" t="s">
        <v>280</v>
      </c>
      <c r="E28" s="162">
        <v>315</v>
      </c>
      <c r="F28" s="162">
        <f>'[2]Supply COST'!E69</f>
        <v>0</v>
      </c>
      <c r="G28" s="162">
        <f>Table2[[#This Row],[Main Qty]]+Table2[[#This Row],[Spare]]</f>
        <v>315</v>
      </c>
    </row>
    <row r="29" spans="1:7" x14ac:dyDescent="0.3">
      <c r="A29" s="224"/>
      <c r="B29" s="159" t="s">
        <v>252</v>
      </c>
      <c r="C29" s="160">
        <v>101951</v>
      </c>
      <c r="D29" s="163" t="s">
        <v>281</v>
      </c>
      <c r="E29" s="162">
        <v>16</v>
      </c>
      <c r="F29" s="162">
        <f>'[2]Supply COST'!E70</f>
        <v>0</v>
      </c>
      <c r="G29" s="162">
        <f>Table2[[#This Row],[Main Qty]]+Table2[[#This Row],[Spare]]</f>
        <v>16</v>
      </c>
    </row>
    <row r="30" spans="1:7" x14ac:dyDescent="0.3">
      <c r="A30" s="224"/>
      <c r="B30" s="159" t="s">
        <v>252</v>
      </c>
      <c r="C30" s="160">
        <v>101919</v>
      </c>
      <c r="D30" s="161" t="s">
        <v>282</v>
      </c>
      <c r="E30" s="160">
        <v>11</v>
      </c>
      <c r="F30" s="160">
        <f>'[2]Supply COST'!E71</f>
        <v>0</v>
      </c>
      <c r="G30" s="162">
        <f>Table2[[#This Row],[Main Qty]]+Table2[[#This Row],[Spare]]</f>
        <v>11</v>
      </c>
    </row>
    <row r="31" spans="1:7" hidden="1" x14ac:dyDescent="0.3">
      <c r="A31" s="226" t="s">
        <v>283</v>
      </c>
      <c r="B31" s="154" t="s">
        <v>252</v>
      </c>
      <c r="C31" s="155">
        <v>102901</v>
      </c>
      <c r="D31" s="156" t="s">
        <v>284</v>
      </c>
      <c r="E31" s="155">
        <v>0</v>
      </c>
      <c r="F31" s="155">
        <f>'[2]Supply COST'!E56</f>
        <v>0</v>
      </c>
      <c r="G31" s="155">
        <f>Table2[[#This Row],[Main Qty]]+Table2[[#This Row],[Spare]]</f>
        <v>0</v>
      </c>
    </row>
    <row r="32" spans="1:7" x14ac:dyDescent="0.3">
      <c r="A32" s="226"/>
      <c r="B32" s="154" t="s">
        <v>252</v>
      </c>
      <c r="C32" s="155">
        <v>102900</v>
      </c>
      <c r="D32" s="156" t="s">
        <v>285</v>
      </c>
      <c r="E32" s="155">
        <v>28</v>
      </c>
      <c r="F32" s="155">
        <f>'[2]Supply COST'!E58</f>
        <v>0</v>
      </c>
      <c r="G32" s="155">
        <f>Table2[[#This Row],[Main Qty]]+Table2[[#This Row],[Spare]]</f>
        <v>28</v>
      </c>
    </row>
    <row r="33" spans="1:7" x14ac:dyDescent="0.3">
      <c r="A33" s="226"/>
      <c r="B33" s="154" t="s">
        <v>252</v>
      </c>
      <c r="C33" s="155">
        <v>102902</v>
      </c>
      <c r="D33" s="156" t="s">
        <v>286</v>
      </c>
      <c r="E33" s="155">
        <v>56</v>
      </c>
      <c r="F33" s="155">
        <f>'[2]Supply COST'!E57+'[2]Supply COST'!E59</f>
        <v>0</v>
      </c>
      <c r="G33" s="155">
        <f>Table2[[#This Row],[Main Qty]]+Table2[[#This Row],[Spare]]</f>
        <v>56</v>
      </c>
    </row>
    <row r="34" spans="1:7" hidden="1" x14ac:dyDescent="0.3">
      <c r="A34" s="226"/>
      <c r="B34" s="154" t="s">
        <v>252</v>
      </c>
      <c r="C34" s="155">
        <v>102645</v>
      </c>
      <c r="D34" s="156" t="s">
        <v>287</v>
      </c>
      <c r="E34" s="155">
        <v>0</v>
      </c>
      <c r="F34" s="155">
        <f>'[2]Supply COST'!E60</f>
        <v>0</v>
      </c>
      <c r="G34" s="155">
        <f>Table2[[#This Row],[Main Qty]]+Table2[[#This Row],[Spare]]</f>
        <v>0</v>
      </c>
    </row>
    <row r="35" spans="1:7" hidden="1" x14ac:dyDescent="0.3">
      <c r="A35" s="226"/>
      <c r="B35" s="154" t="s">
        <v>252</v>
      </c>
      <c r="C35" s="155">
        <v>102250</v>
      </c>
      <c r="D35" s="156" t="s">
        <v>288</v>
      </c>
      <c r="E35" s="155">
        <v>0</v>
      </c>
      <c r="F35" s="155">
        <f>'[2]Supply COST'!E61</f>
        <v>0</v>
      </c>
      <c r="G35" s="155">
        <f>Table2[[#This Row],[Main Qty]]+Table2[[#This Row],[Spare]]</f>
        <v>0</v>
      </c>
    </row>
    <row r="36" spans="1:7" hidden="1" x14ac:dyDescent="0.3">
      <c r="A36" s="226"/>
      <c r="B36" s="154" t="s">
        <v>252</v>
      </c>
      <c r="C36" s="155">
        <v>102252</v>
      </c>
      <c r="D36" s="156" t="s">
        <v>289</v>
      </c>
      <c r="E36" s="155">
        <v>0</v>
      </c>
      <c r="F36" s="155">
        <f>'[2]Supply COST'!E62</f>
        <v>0</v>
      </c>
      <c r="G36" s="155">
        <f>Table2[[#This Row],[Main Qty]]+Table2[[#This Row],[Spare]]</f>
        <v>0</v>
      </c>
    </row>
    <row r="37" spans="1:7" hidden="1" x14ac:dyDescent="0.3">
      <c r="A37" s="226"/>
      <c r="B37" s="154" t="s">
        <v>252</v>
      </c>
      <c r="C37" s="155" t="s">
        <v>290</v>
      </c>
      <c r="D37" s="156" t="s">
        <v>291</v>
      </c>
      <c r="E37" s="155">
        <v>0</v>
      </c>
      <c r="F37" s="155">
        <f>'[2]Supply COST'!E63</f>
        <v>0</v>
      </c>
      <c r="G37" s="155">
        <f>Table2[[#This Row],[Main Qty]]+Table2[[#This Row],[Spare]]</f>
        <v>0</v>
      </c>
    </row>
    <row r="38" spans="1:7" x14ac:dyDescent="0.3">
      <c r="A38" s="224" t="s">
        <v>319</v>
      </c>
      <c r="B38" s="159" t="s">
        <v>252</v>
      </c>
      <c r="C38" s="160">
        <v>102503</v>
      </c>
      <c r="D38" s="163" t="s">
        <v>293</v>
      </c>
      <c r="E38" s="162">
        <v>93</v>
      </c>
      <c r="F38" s="162">
        <f>'[2]Supply COST'!E64+'[2]Supply COST'!E65</f>
        <v>0</v>
      </c>
      <c r="G38" s="160">
        <f>Table2[[#This Row],[Main Qty]]+Table2[[#This Row],[Spare]]</f>
        <v>93</v>
      </c>
    </row>
    <row r="39" spans="1:7" x14ac:dyDescent="0.3">
      <c r="A39" s="224"/>
      <c r="B39" s="159" t="s">
        <v>252</v>
      </c>
      <c r="C39" s="160">
        <v>101958</v>
      </c>
      <c r="D39" s="161" t="s">
        <v>294</v>
      </c>
      <c r="E39" s="160">
        <v>606</v>
      </c>
      <c r="F39" s="160">
        <f>'[2]Supply COST'!E53</f>
        <v>0</v>
      </c>
      <c r="G39" s="160">
        <f>Table2[[#This Row],[Main Qty]]+Table2[[#This Row],[Spare]]</f>
        <v>606</v>
      </c>
    </row>
    <row r="40" spans="1:7" x14ac:dyDescent="0.3">
      <c r="A40" s="224"/>
      <c r="B40" s="159" t="s">
        <v>252</v>
      </c>
      <c r="C40" s="160">
        <v>102474</v>
      </c>
      <c r="D40" s="161" t="s">
        <v>295</v>
      </c>
      <c r="E40" s="160">
        <v>630</v>
      </c>
      <c r="F40" s="160">
        <f>'[2]Supply COST'!E54</f>
        <v>0</v>
      </c>
      <c r="G40" s="160">
        <f>Table2[[#This Row],[Main Qty]]+Table2[[#This Row],[Spare]]</f>
        <v>630</v>
      </c>
    </row>
    <row r="41" spans="1:7" x14ac:dyDescent="0.3">
      <c r="A41" s="224"/>
      <c r="B41" s="159" t="s">
        <v>252</v>
      </c>
      <c r="C41" s="160">
        <v>18060</v>
      </c>
      <c r="D41" s="163" t="s">
        <v>296</v>
      </c>
      <c r="E41" s="162">
        <v>408</v>
      </c>
      <c r="F41" s="162">
        <f>'[2]Supply COST'!E66+'[2]Supply COST'!E67</f>
        <v>0</v>
      </c>
      <c r="G41" s="160">
        <f>Table2[[#This Row],[Main Qty]]+Table2[[#This Row],[Spare]]</f>
        <v>408</v>
      </c>
    </row>
    <row r="42" spans="1:7" x14ac:dyDescent="0.3">
      <c r="A42" s="224"/>
      <c r="B42" s="159" t="s">
        <v>252</v>
      </c>
      <c r="C42" s="160">
        <v>101350</v>
      </c>
      <c r="D42" s="164" t="s">
        <v>297</v>
      </c>
      <c r="E42" s="160">
        <v>46</v>
      </c>
      <c r="F42" s="160">
        <f>'[2]Supply COST'!E48</f>
        <v>0</v>
      </c>
      <c r="G42" s="160">
        <f>Table2[[#This Row],[Main Qty]]+Table2[[#This Row],[Spare]]</f>
        <v>46</v>
      </c>
    </row>
    <row r="43" spans="1:7" ht="15" hidden="1" thickBot="1" x14ac:dyDescent="0.35">
      <c r="A43" s="165" t="s">
        <v>298</v>
      </c>
      <c r="B43" s="166" t="s">
        <v>252</v>
      </c>
      <c r="C43" s="155">
        <v>110911</v>
      </c>
      <c r="D43" s="156" t="s">
        <v>299</v>
      </c>
      <c r="E43" s="155">
        <v>0</v>
      </c>
      <c r="F43" s="155">
        <f>'[2]Supply COST'!E73</f>
        <v>0</v>
      </c>
      <c r="G43" s="155">
        <f>Table2[[#This Row],[Main Qty]]+Table2[[#This Row],[Spare]]</f>
        <v>0</v>
      </c>
    </row>
  </sheetData>
  <mergeCells count="6">
    <mergeCell ref="A38:A42"/>
    <mergeCell ref="A3:A9"/>
    <mergeCell ref="A10:A23"/>
    <mergeCell ref="A24:A27"/>
    <mergeCell ref="A28:A30"/>
    <mergeCell ref="A31:A37"/>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0D9177-7132-4945-9F07-7B1B67D134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Template &amp; Version</vt:lpstr>
      <vt:lpstr>3. Eligibility Conditions</vt:lpstr>
      <vt:lpstr>4. Project Questionnairre</vt:lpstr>
      <vt:lpstr>5. Customer Requirements</vt:lpstr>
      <vt:lpstr>6. Pre Bid Query</vt:lpstr>
      <vt:lpstr>7. Check List</vt:lpstr>
      <vt:lpstr>10. BoQ</vt:lpstr>
      <vt:lpstr>16.DP TS details</vt:lpstr>
      <vt:lpstr>10.  BOQ</vt:lpstr>
      <vt:lpstr>'Template &amp; Version'!Print_Area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Akhilesh Yadav</dc:creator>
  <cp:lastModifiedBy>Nikhil Umesh Kumar</cp:lastModifiedBy>
  <cp:lastPrinted>2024-09-27T08:18:50Z</cp:lastPrinted>
  <dcterms:created xsi:type="dcterms:W3CDTF">2020-03-11T05:45:22Z</dcterms:created>
  <dcterms:modified xsi:type="dcterms:W3CDTF">2026-07-30T11:11:39Z</dcterms:modified>
</cp:coreProperties>
</file>